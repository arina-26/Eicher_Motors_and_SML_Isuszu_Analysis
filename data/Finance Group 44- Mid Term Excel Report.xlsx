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icher Motors IS" sheetId="1" r:id="rId5"/>
    <sheet state="visible" name="Eicher Motors BS" sheetId="2" r:id="rId6"/>
    <sheet state="visible" name="SML Isuzu IS" sheetId="3" r:id="rId7"/>
    <sheet state="visible" name="SML Isuzu BS" sheetId="4" r:id="rId8"/>
    <sheet state="visible" name="Liquidity Ratio" sheetId="5" r:id="rId9"/>
    <sheet state="visible" name="Effectivity Ratio" sheetId="6" r:id="rId10"/>
    <sheet state="visible" name="Profitability Ratio" sheetId="7" r:id="rId11"/>
  </sheets>
  <definedNames/>
  <calcPr/>
</workbook>
</file>

<file path=xl/sharedStrings.xml><?xml version="1.0" encoding="utf-8"?>
<sst xmlns="http://schemas.openxmlformats.org/spreadsheetml/2006/main" count="381" uniqueCount="99">
  <si>
    <t>Eicher Motors - Consolidated Income Statement ('INR Crore)</t>
  </si>
  <si>
    <t>Eicher Motors - Common Size Income Statement</t>
  </si>
  <si>
    <t>Consolidated Income Statement</t>
  </si>
  <si>
    <t>March 31, 2025</t>
  </si>
  <si>
    <t>March 31, 2024</t>
  </si>
  <si>
    <t>March 31, 2023</t>
  </si>
  <si>
    <t>March 31, 2022</t>
  </si>
  <si>
    <t>Revenue or Sales</t>
  </si>
  <si>
    <t>Revenue from Operations</t>
  </si>
  <si>
    <t>Total Revenue or Income</t>
  </si>
  <si>
    <t>Other Income</t>
  </si>
  <si>
    <t>Cost of Raw Material and Components Consumed</t>
  </si>
  <si>
    <t>Purchases of Traded Goods</t>
  </si>
  <si>
    <t>Cost Of Goods Sold (COGS)</t>
  </si>
  <si>
    <t>Total COGS</t>
  </si>
  <si>
    <t xml:space="preserve">Gross Profit </t>
  </si>
  <si>
    <t>Change in Inventories of Finished Goods, work-in-progress and Traded Goods</t>
  </si>
  <si>
    <t>Employee Benefits Expense</t>
  </si>
  <si>
    <t>Depreciation and Amortisation Expense</t>
  </si>
  <si>
    <t>Revenue - COGS</t>
  </si>
  <si>
    <t>Other Expenses</t>
  </si>
  <si>
    <t xml:space="preserve">Total OPEX </t>
  </si>
  <si>
    <t>Operating Expenses (OPEX)</t>
  </si>
  <si>
    <t>Operating Profit or Earnings Before Interest and Taxes (EBIT)</t>
  </si>
  <si>
    <t>Finance Costs</t>
  </si>
  <si>
    <t>Share of Profit of Joint Venture (VE Commercial Vehicles Limited)</t>
  </si>
  <si>
    <t>Profit Before Tax (PBT)</t>
  </si>
  <si>
    <t>Gross Profit - OPEX</t>
  </si>
  <si>
    <t>Current Tax</t>
  </si>
  <si>
    <t>Deferred tax</t>
  </si>
  <si>
    <t xml:space="preserve">Interest </t>
  </si>
  <si>
    <t>Total Tax Expense</t>
  </si>
  <si>
    <t>Non-Operating Income</t>
  </si>
  <si>
    <t>Net Income or Proft After Tax (PAT)</t>
  </si>
  <si>
    <t>EBIT - Interest + Non-Operating Income</t>
  </si>
  <si>
    <t>Tax Expense</t>
  </si>
  <si>
    <t>PBT - Tax</t>
  </si>
  <si>
    <t>Eicher Motors - Consolidated Balance Sheet ('INR Crore)</t>
  </si>
  <si>
    <t>Eicher Motors - Common Size Balance Sheet</t>
  </si>
  <si>
    <t>Consolidated Balance Sheet</t>
  </si>
  <si>
    <t>ASSETS</t>
  </si>
  <si>
    <t>Non-Current Assets</t>
  </si>
  <si>
    <t>Property, Plant and Equipment</t>
  </si>
  <si>
    <t>Intangible Assets (Goodwill)</t>
  </si>
  <si>
    <t>Other Intangible Assets (Under Development)</t>
  </si>
  <si>
    <t>*Other Non-Current Assets</t>
  </si>
  <si>
    <t>Total Non-Current Assets</t>
  </si>
  <si>
    <t>Current Assets</t>
  </si>
  <si>
    <t>Inventories</t>
  </si>
  <si>
    <t>Trade Receivables (Billed and Unbilled)</t>
  </si>
  <si>
    <t>Cash and Cash Equivalents</t>
  </si>
  <si>
    <t>Total Current Assets</t>
  </si>
  <si>
    <t>Total Assets</t>
  </si>
  <si>
    <t>EQUITY &amp; LIABILITY</t>
  </si>
  <si>
    <t>Equity</t>
  </si>
  <si>
    <t>Share Capital</t>
  </si>
  <si>
    <t>Other equity</t>
  </si>
  <si>
    <t>Total Equity</t>
  </si>
  <si>
    <t>Non-Current Liabilities</t>
  </si>
  <si>
    <t>Provisions</t>
  </si>
  <si>
    <t>*Other Non-Current Liabilities</t>
  </si>
  <si>
    <t>Total Non-Current Liabilities</t>
  </si>
  <si>
    <t>Current Liabilities</t>
  </si>
  <si>
    <t>Trade payables</t>
  </si>
  <si>
    <t>*Other Current Liabilities</t>
  </si>
  <si>
    <t>Total Current Liabilities</t>
  </si>
  <si>
    <t>Total Liability</t>
  </si>
  <si>
    <t>Total Equity and Liability</t>
  </si>
  <si>
    <t>SML Isuzu - Consolidated Income Statement ('INR Crore)</t>
  </si>
  <si>
    <t>SML Isuzu - Common Size Income Statement</t>
  </si>
  <si>
    <t>Cost of Materials Consumed</t>
  </si>
  <si>
    <t>Purchase of Stock-in-Trade</t>
  </si>
  <si>
    <t>Changes in Inventories of Finished Foods, Work in Progress and Stock-in-Trade</t>
  </si>
  <si>
    <t>--%</t>
  </si>
  <si>
    <t>Tax Adjustment Related to Prior Years</t>
  </si>
  <si>
    <t>EBIT - Interest</t>
  </si>
  <si>
    <t>--</t>
  </si>
  <si>
    <t>SML Isuzu - Consolidated Balance Sheet ('INR Crore)</t>
  </si>
  <si>
    <t>SML Isuzu - Common Size Balance Sheet</t>
  </si>
  <si>
    <t xml:space="preserve">        </t>
  </si>
  <si>
    <t>Current Ratio</t>
  </si>
  <si>
    <t>Company Name</t>
  </si>
  <si>
    <t>Eicher Motors</t>
  </si>
  <si>
    <t>SML Isuzu</t>
  </si>
  <si>
    <t>Baseline</t>
  </si>
  <si>
    <t>Acid-Test (Quick) Ratio</t>
  </si>
  <si>
    <t>Cash Ratio</t>
  </si>
  <si>
    <t>Days in Receivables (Eicher Motors)</t>
  </si>
  <si>
    <t>Accounts Receivable Turnover Ratio (ART)</t>
  </si>
  <si>
    <t>Receivable Turnover Ratio</t>
  </si>
  <si>
    <t>Days in Receivables</t>
  </si>
  <si>
    <t>Days in Receivables (SML Isuzu)</t>
  </si>
  <si>
    <t>Days Sales Outstanding (DSO)</t>
  </si>
  <si>
    <t>Fixed Asset Turnover Ratio</t>
  </si>
  <si>
    <t>Total Asset Turnover Ratio</t>
  </si>
  <si>
    <t>Operating Profit Margin</t>
  </si>
  <si>
    <t>Net Profit Margin</t>
  </si>
  <si>
    <t>Return on Equity (ROE)</t>
  </si>
  <si>
    <t>Return on Asset (ROA)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</si>
</sst>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₹]#,##0.00"/>
    <numFmt numFmtId="165" formatCode="mmmm d, yyyy"/>
  </numFmts>
  <fonts count="20">
    <font>
      <sz val="10.0"/>
      <color rgb="FF000000"/>
      <name val="Arial"/>
      <scheme val="minor"/>
    </font>
    <font>
      <b/>
      <sz val="11.0"/>
      <color theme="1"/>
      <name val="Arial"/>
      <scheme val="minor"/>
    </font>
    <font/>
    <font>
      <color theme="1"/>
      <name val="Arial"/>
      <scheme val="minor"/>
    </font>
    <font>
      <b/>
      <color theme="1"/>
      <name val="Arial"/>
      <scheme val="minor"/>
    </font>
    <font>
      <b/>
      <color rgb="FFFFFFFF"/>
      <name val="Arial"/>
      <scheme val="minor"/>
    </font>
    <font>
      <color rgb="FF000000"/>
      <name val="Arial"/>
      <scheme val="minor"/>
    </font>
    <font>
      <b/>
      <color rgb="FF000000"/>
      <name val="Arial"/>
      <scheme val="minor"/>
    </font>
    <font>
      <b/>
      <sz val="15.0"/>
      <color theme="1"/>
      <name val="Arial"/>
      <scheme val="minor"/>
    </font>
    <font>
      <b/>
      <sz val="10.0"/>
      <color rgb="FF000000"/>
      <name val="Arial"/>
    </font>
    <font>
      <b/>
      <sz val="10.0"/>
      <color rgb="FF000000"/>
      <name val="&quot;Aptos Narrow&quot;"/>
    </font>
    <font>
      <sz val="10.0"/>
      <color theme="1"/>
      <name val="Arial"/>
      <scheme val="minor"/>
    </font>
    <font>
      <sz val="10.0"/>
      <color rgb="FF000000"/>
      <name val="Arial"/>
    </font>
    <font>
      <sz val="10.0"/>
      <color rgb="FF000000"/>
      <name val="&quot;Aptos Narrow&quot;"/>
    </font>
    <font>
      <b/>
      <sz val="11.0"/>
      <color rgb="FF000000"/>
      <name val="&quot;Aptos Narrow&quot;"/>
    </font>
    <font>
      <b/>
      <sz val="11.0"/>
      <color rgb="FF000000"/>
      <name val="Arial"/>
      <scheme val="minor"/>
    </font>
    <font>
      <b/>
      <sz val="11.0"/>
      <color rgb="FF000000"/>
      <name val="Arial"/>
    </font>
    <font>
      <b/>
      <sz val="10.0"/>
      <color theme="1"/>
      <name val="Arial"/>
      <scheme val="minor"/>
    </font>
    <font>
      <sz val="11.0"/>
      <color rgb="FF000000"/>
      <name val="Arial"/>
    </font>
    <font>
      <sz val="11.0"/>
      <color rgb="FF000000"/>
      <name val="&quot;Aptos Narrow&quot;"/>
    </font>
  </fonts>
  <fills count="1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9FC5E8"/>
        <bgColor rgb="FF9FC5E8"/>
      </patternFill>
    </fill>
    <fill>
      <patternFill patternType="solid">
        <fgColor rgb="FFFFF2CC"/>
        <bgColor rgb="FFFFF2CC"/>
      </patternFill>
    </fill>
    <fill>
      <patternFill patternType="solid">
        <fgColor rgb="FF434343"/>
        <bgColor rgb="FF434343"/>
      </patternFill>
    </fill>
    <fill>
      <patternFill patternType="solid">
        <fgColor rgb="FFD9EAD3"/>
        <bgColor rgb="FFD9EAD3"/>
      </patternFill>
    </fill>
    <fill>
      <patternFill patternType="solid">
        <fgColor rgb="FFE8E8E8"/>
        <bgColor rgb="FFE8E8E8"/>
      </patternFill>
    </fill>
    <fill>
      <patternFill patternType="solid">
        <fgColor rgb="FFB7B7B7"/>
        <bgColor rgb="FFB7B7B7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CCCCCC"/>
        <bgColor rgb="FFCCCCCC"/>
      </patternFill>
    </fill>
    <fill>
      <patternFill patternType="solid">
        <fgColor rgb="FFA4C2F4"/>
        <bgColor rgb="FFA4C2F4"/>
      </patternFill>
    </fill>
  </fills>
  <borders count="11">
    <border/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right style="thin">
        <color rgb="FF999999"/>
      </right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top style="thin">
        <color rgb="FFFFFFFF"/>
      </top>
    </border>
  </borders>
  <cellStyleXfs count="1">
    <xf borderId="0" fillId="0" fontId="0" numFmtId="0" applyAlignment="1" applyFont="1"/>
  </cellStyleXfs>
  <cellXfs count="1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Border="1" applyFill="1" applyFont="1"/>
    <xf borderId="4" fillId="3" fontId="4" numFmtId="0" xfId="0" applyAlignment="1" applyBorder="1" applyFont="1">
      <alignment horizontal="center" readingOrder="0" vertical="center"/>
    </xf>
    <xf borderId="4" fillId="3" fontId="4" numFmtId="49" xfId="0" applyAlignment="1" applyBorder="1" applyFont="1" applyNumberFormat="1">
      <alignment horizontal="center" readingOrder="0" vertical="center"/>
    </xf>
    <xf borderId="4" fillId="3" fontId="4" numFmtId="0" xfId="0" applyAlignment="1" applyBorder="1" applyFont="1">
      <alignment readingOrder="0" vertical="center"/>
    </xf>
    <xf borderId="5" fillId="4" fontId="4" numFmtId="0" xfId="0" applyAlignment="1" applyBorder="1" applyFill="1" applyFont="1">
      <alignment horizontal="center" readingOrder="0" vertical="center"/>
    </xf>
    <xf borderId="4" fillId="0" fontId="3" numFmtId="0" xfId="0" applyAlignment="1" applyBorder="1" applyFont="1">
      <alignment readingOrder="0"/>
    </xf>
    <xf borderId="4" fillId="0" fontId="3" numFmtId="164" xfId="0" applyAlignment="1" applyBorder="1" applyFont="1" applyNumberFormat="1">
      <alignment horizontal="right" readingOrder="0"/>
    </xf>
    <xf borderId="4" fillId="5" fontId="5" numFmtId="0" xfId="0" applyAlignment="1" applyBorder="1" applyFill="1" applyFont="1">
      <alignment readingOrder="0" vertical="bottom"/>
    </xf>
    <xf borderId="4" fillId="5" fontId="5" numFmtId="164" xfId="0" applyAlignment="1" applyBorder="1" applyFont="1" applyNumberFormat="1">
      <alignment readingOrder="0"/>
    </xf>
    <xf borderId="6" fillId="0" fontId="2" numFmtId="0" xfId="0" applyBorder="1" applyFont="1"/>
    <xf borderId="4" fillId="0" fontId="3" numFmtId="10" xfId="0" applyAlignment="1" applyBorder="1" applyFont="1" applyNumberFormat="1">
      <alignment readingOrder="0"/>
    </xf>
    <xf borderId="7" fillId="0" fontId="2" numFmtId="0" xfId="0" applyBorder="1" applyFont="1"/>
    <xf borderId="4" fillId="6" fontId="4" numFmtId="0" xfId="0" applyAlignment="1" applyBorder="1" applyFill="1" applyFont="1">
      <alignment readingOrder="0"/>
    </xf>
    <xf borderId="4" fillId="6" fontId="4" numFmtId="164" xfId="0" applyAlignment="1" applyBorder="1" applyFont="1" applyNumberFormat="1">
      <alignment horizontal="right"/>
    </xf>
    <xf borderId="4" fillId="7" fontId="4" numFmtId="0" xfId="0" applyAlignment="1" applyBorder="1" applyFill="1" applyFont="1">
      <alignment readingOrder="0"/>
    </xf>
    <xf borderId="4" fillId="7" fontId="4" numFmtId="10" xfId="0" applyBorder="1" applyFont="1" applyNumberFormat="1"/>
    <xf borderId="4" fillId="8" fontId="4" numFmtId="0" xfId="0" applyAlignment="1" applyBorder="1" applyFill="1" applyFont="1">
      <alignment readingOrder="0"/>
    </xf>
    <xf borderId="4" fillId="8" fontId="4" numFmtId="10" xfId="0" applyBorder="1" applyFont="1" applyNumberFormat="1"/>
    <xf borderId="4" fillId="9" fontId="4" numFmtId="0" xfId="0" applyAlignment="1" applyBorder="1" applyFill="1" applyFont="1">
      <alignment horizontal="center" readingOrder="0"/>
    </xf>
    <xf borderId="4" fillId="10" fontId="4" numFmtId="0" xfId="0" applyAlignment="1" applyBorder="1" applyFill="1" applyFont="1">
      <alignment readingOrder="0"/>
    </xf>
    <xf borderId="4" fillId="10" fontId="4" numFmtId="164" xfId="0" applyAlignment="1" applyBorder="1" applyFont="1" applyNumberFormat="1">
      <alignment horizontal="right"/>
    </xf>
    <xf borderId="4" fillId="0" fontId="6" numFmtId="0" xfId="0" applyAlignment="1" applyBorder="1" applyFont="1">
      <alignment horizontal="center" readingOrder="0"/>
    </xf>
    <xf borderId="4" fillId="0" fontId="3" numFmtId="164" xfId="0" applyAlignment="1" applyBorder="1" applyFont="1" applyNumberFormat="1">
      <alignment horizontal="right"/>
    </xf>
    <xf borderId="4" fillId="0" fontId="4" numFmtId="10" xfId="0" applyBorder="1" applyFont="1" applyNumberFormat="1"/>
    <xf borderId="4" fillId="0" fontId="3" numFmtId="0" xfId="0" applyAlignment="1" applyBorder="1" applyFont="1">
      <alignment horizontal="center" readingOrder="0"/>
    </xf>
    <xf borderId="4" fillId="4" fontId="4" numFmtId="0" xfId="0" applyAlignment="1" applyBorder="1" applyFont="1">
      <alignment horizontal="center" readingOrder="0"/>
    </xf>
    <xf borderId="4" fillId="7" fontId="4" numFmtId="10" xfId="0" applyAlignment="1" applyBorder="1" applyFont="1" applyNumberFormat="1">
      <alignment readingOrder="0"/>
    </xf>
    <xf borderId="4" fillId="6" fontId="4" numFmtId="164" xfId="0" applyAlignment="1" applyBorder="1" applyFont="1" applyNumberFormat="1">
      <alignment horizontal="right" readingOrder="0"/>
    </xf>
    <xf borderId="0" fillId="0" fontId="3" numFmtId="164" xfId="0" applyFont="1" applyNumberFormat="1"/>
    <xf borderId="0" fillId="0" fontId="3" numFmtId="0" xfId="0" applyAlignment="1" applyFont="1">
      <alignment vertical="center"/>
    </xf>
    <xf borderId="8" fillId="0" fontId="3" numFmtId="0" xfId="0" applyBorder="1" applyFont="1"/>
    <xf borderId="2" fillId="2" fontId="1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center" readingOrder="0"/>
    </xf>
    <xf borderId="4" fillId="0" fontId="4" numFmtId="165" xfId="0" applyAlignment="1" applyBorder="1" applyFont="1" applyNumberFormat="1">
      <alignment horizontal="center" readingOrder="0"/>
    </xf>
    <xf borderId="9" fillId="0" fontId="3" numFmtId="0" xfId="0" applyBorder="1" applyFont="1"/>
    <xf borderId="1" fillId="11" fontId="4" numFmtId="0" xfId="0" applyAlignment="1" applyBorder="1" applyFill="1" applyFont="1">
      <alignment horizontal="center" readingOrder="0" vertical="center"/>
    </xf>
    <xf borderId="4" fillId="0" fontId="4" numFmtId="0" xfId="0" applyAlignment="1" applyBorder="1" applyFont="1">
      <alignment horizontal="center" readingOrder="0" vertical="center"/>
    </xf>
    <xf borderId="4" fillId="0" fontId="3" numFmtId="10" xfId="0" applyAlignment="1" applyBorder="1" applyFont="1" applyNumberFormat="1">
      <alignment horizontal="right" readingOrder="0"/>
    </xf>
    <xf borderId="4" fillId="0" fontId="3" numFmtId="164" xfId="0" applyAlignment="1" applyBorder="1" applyFont="1" applyNumberFormat="1">
      <alignment readingOrder="0"/>
    </xf>
    <xf borderId="4" fillId="6" fontId="4" numFmtId="10" xfId="0" applyAlignment="1" applyBorder="1" applyFont="1" applyNumberFormat="1">
      <alignment horizontal="right" readingOrder="0"/>
    </xf>
    <xf borderId="4" fillId="10" fontId="4" numFmtId="164" xfId="0" applyAlignment="1" applyBorder="1" applyFont="1" applyNumberFormat="1">
      <alignment horizontal="right" readingOrder="0"/>
    </xf>
    <xf borderId="4" fillId="10" fontId="4" numFmtId="10" xfId="0" applyAlignment="1" applyBorder="1" applyFont="1" applyNumberFormat="1">
      <alignment horizontal="right" readingOrder="0"/>
    </xf>
    <xf borderId="4" fillId="0" fontId="3" numFmtId="0" xfId="0" applyBorder="1" applyFont="1"/>
    <xf borderId="4" fillId="0" fontId="4" numFmtId="164" xfId="0" applyAlignment="1" applyBorder="1" applyFont="1" applyNumberFormat="1">
      <alignment horizontal="right"/>
    </xf>
    <xf borderId="4" fillId="0" fontId="4" numFmtId="10" xfId="0" applyAlignment="1" applyBorder="1" applyFont="1" applyNumberFormat="1">
      <alignment horizontal="right"/>
    </xf>
    <xf borderId="1" fillId="7" fontId="4" numFmtId="0" xfId="0" applyAlignment="1" applyBorder="1" applyFont="1">
      <alignment horizontal="center" readingOrder="0"/>
    </xf>
    <xf borderId="4" fillId="7" fontId="4" numFmtId="164" xfId="0" applyAlignment="1" applyBorder="1" applyFont="1" applyNumberFormat="1">
      <alignment horizontal="right"/>
    </xf>
    <xf borderId="4" fillId="7" fontId="4" numFmtId="10" xfId="0" applyAlignment="1" applyBorder="1" applyFont="1" applyNumberFormat="1">
      <alignment horizontal="right"/>
    </xf>
    <xf borderId="4" fillId="12" fontId="4" numFmtId="0" xfId="0" applyAlignment="1" applyBorder="1" applyFill="1" applyFont="1">
      <alignment horizontal="center" readingOrder="0" vertical="center"/>
    </xf>
    <xf borderId="4" fillId="12" fontId="4" numFmtId="164" xfId="0" applyAlignment="1" applyBorder="1" applyFont="1" applyNumberFormat="1">
      <alignment horizontal="right" readingOrder="0"/>
    </xf>
    <xf borderId="4" fillId="12" fontId="4" numFmtId="10" xfId="0" applyAlignment="1" applyBorder="1" applyFont="1" applyNumberFormat="1">
      <alignment horizontal="right" readingOrder="0"/>
    </xf>
    <xf borderId="4" fillId="6" fontId="4" numFmtId="164" xfId="0" applyAlignment="1" applyBorder="1" applyFont="1" applyNumberFormat="1">
      <alignment readingOrder="0"/>
    </xf>
    <xf borderId="4" fillId="6" fontId="4" numFmtId="10" xfId="0" applyAlignment="1" applyBorder="1" applyFont="1" applyNumberFormat="1">
      <alignment readingOrder="0"/>
    </xf>
    <xf borderId="4" fillId="10" fontId="4" numFmtId="10" xfId="0" applyAlignment="1" applyBorder="1" applyFont="1" applyNumberFormat="1">
      <alignment horizontal="right"/>
    </xf>
    <xf borderId="4" fillId="0" fontId="7" numFmtId="0" xfId="0" applyAlignment="1" applyBorder="1" applyFont="1">
      <alignment horizontal="center" readingOrder="0"/>
    </xf>
    <xf borderId="4" fillId="0" fontId="3" numFmtId="10" xfId="0" applyAlignment="1" applyBorder="1" applyFont="1" applyNumberFormat="1">
      <alignment horizontal="right"/>
    </xf>
    <xf borderId="5" fillId="4" fontId="7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readingOrder="0"/>
    </xf>
    <xf borderId="4" fillId="12" fontId="4" numFmtId="0" xfId="0" applyAlignment="1" applyBorder="1" applyFont="1">
      <alignment horizontal="center" readingOrder="0"/>
    </xf>
    <xf borderId="10" fillId="0" fontId="3" numFmtId="0" xfId="0" applyBorder="1" applyFont="1"/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horizontal="right"/>
    </xf>
    <xf borderId="0" fillId="0" fontId="3" numFmtId="0" xfId="0" applyAlignment="1" applyFont="1">
      <alignment horizontal="center" readingOrder="0"/>
    </xf>
    <xf borderId="0" fillId="0" fontId="3" numFmtId="164" xfId="0" applyAlignment="1" applyFont="1" applyNumberFormat="1">
      <alignment horizontal="right"/>
    </xf>
    <xf borderId="0" fillId="0" fontId="4" numFmtId="0" xfId="0" applyAlignment="1" applyFont="1">
      <alignment horizontal="center" readingOrder="0" vertical="center"/>
    </xf>
    <xf borderId="0" fillId="0" fontId="3" numFmtId="164" xfId="0" applyAlignment="1" applyFont="1" applyNumberFormat="1">
      <alignment horizontal="right" readingOrder="0"/>
    </xf>
    <xf borderId="0" fillId="0" fontId="4" numFmtId="164" xfId="0" applyAlignment="1" applyFont="1" applyNumberFormat="1">
      <alignment horizontal="right" readingOrder="0"/>
    </xf>
    <xf borderId="4" fillId="3" fontId="3" numFmtId="0" xfId="0" applyAlignment="1" applyBorder="1" applyFont="1">
      <alignment vertical="center"/>
    </xf>
    <xf borderId="4" fillId="5" fontId="5" numFmtId="0" xfId="0" applyAlignment="1" applyBorder="1" applyFont="1">
      <alignment readingOrder="0"/>
    </xf>
    <xf borderId="4" fillId="0" fontId="4" numFmtId="0" xfId="0" applyAlignment="1" applyBorder="1" applyFont="1">
      <alignment horizontal="right" readingOrder="0"/>
    </xf>
    <xf borderId="4" fillId="6" fontId="3" numFmtId="164" xfId="0" applyAlignment="1" applyBorder="1" applyFont="1" applyNumberFormat="1">
      <alignment readingOrder="0"/>
    </xf>
    <xf borderId="0" fillId="0" fontId="8" numFmtId="0" xfId="0" applyAlignment="1" applyFont="1">
      <alignment readingOrder="0"/>
    </xf>
    <xf borderId="0" fillId="0" fontId="1" numFmtId="0" xfId="0" applyAlignment="1" applyFont="1">
      <alignment horizontal="center" readingOrder="0" vertical="center"/>
    </xf>
    <xf borderId="0" fillId="0" fontId="9" numFmtId="0" xfId="0" applyAlignment="1" applyFont="1">
      <alignment readingOrder="0" shrinkToFit="0" vertical="center" wrapText="0"/>
    </xf>
    <xf borderId="4" fillId="3" fontId="9" numFmtId="0" xfId="0" applyAlignment="1" applyBorder="1" applyFont="1">
      <alignment readingOrder="0" shrinkToFit="0" vertical="center" wrapText="0"/>
    </xf>
    <xf borderId="4" fillId="3" fontId="10" numFmtId="49" xfId="0" applyAlignment="1" applyBorder="1" applyFont="1" applyNumberFormat="1">
      <alignment horizontal="center" readingOrder="0" shrinkToFit="0" vertical="center" wrapText="0"/>
    </xf>
    <xf borderId="4" fillId="3" fontId="9" numFmtId="49" xfId="0" applyAlignment="1" applyBorder="1" applyFont="1" applyNumberFormat="1">
      <alignment horizontal="center" readingOrder="0" shrinkToFit="0" vertical="center" wrapText="0"/>
    </xf>
    <xf borderId="0" fillId="0" fontId="11" numFmtId="0" xfId="0" applyAlignment="1" applyFont="1">
      <alignment vertical="center"/>
    </xf>
    <xf borderId="0" fillId="0" fontId="12" numFmtId="0" xfId="0" applyAlignment="1" applyFont="1">
      <alignment readingOrder="0" shrinkToFit="0" vertical="bottom" wrapText="0"/>
    </xf>
    <xf borderId="4" fillId="0" fontId="9" numFmtId="0" xfId="0" applyAlignment="1" applyBorder="1" applyFont="1">
      <alignment readingOrder="0" shrinkToFit="0" vertical="bottom" wrapText="0"/>
    </xf>
    <xf borderId="4" fillId="0" fontId="0" numFmtId="4" xfId="0" applyAlignment="1" applyBorder="1" applyFont="1" applyNumberFormat="1">
      <alignment horizontal="center" shrinkToFit="0" vertical="bottom" wrapText="0"/>
    </xf>
    <xf borderId="0" fillId="0" fontId="11" numFmtId="0" xfId="0" applyFont="1"/>
    <xf borderId="0" fillId="0" fontId="13" numFmtId="0" xfId="0" applyAlignment="1" applyFont="1">
      <alignment readingOrder="0" shrinkToFit="0" vertical="bottom" wrapText="0"/>
    </xf>
    <xf borderId="4" fillId="0" fontId="10" numFmtId="0" xfId="0" applyAlignment="1" applyBorder="1" applyFont="1">
      <alignment readingOrder="0" shrinkToFit="0" vertical="bottom" wrapText="0"/>
    </xf>
    <xf borderId="4" fillId="0" fontId="0" numFmtId="4" xfId="0" applyAlignment="1" applyBorder="1" applyFont="1" applyNumberFormat="1">
      <alignment horizontal="center" readingOrder="0" shrinkToFit="0" vertical="bottom" wrapText="0"/>
    </xf>
    <xf borderId="0" fillId="0" fontId="14" numFmtId="0" xfId="0" applyAlignment="1" applyFont="1">
      <alignment horizontal="center" readingOrder="0" shrinkToFit="0" vertical="center" wrapText="0"/>
    </xf>
    <xf borderId="1" fillId="2" fontId="15" numFmtId="0" xfId="0" applyAlignment="1" applyBorder="1" applyFont="1">
      <alignment horizontal="center" readingOrder="0" shrinkToFit="0" vertical="center" wrapText="0"/>
    </xf>
    <xf borderId="0" fillId="0" fontId="10" numFmtId="0" xfId="0" applyAlignment="1" applyFont="1">
      <alignment readingOrder="0" shrinkToFit="0" vertical="center" wrapText="0"/>
    </xf>
    <xf borderId="4" fillId="3" fontId="10" numFmtId="0" xfId="0" applyAlignment="1" applyBorder="1" applyFont="1">
      <alignment readingOrder="0" shrinkToFit="0" vertical="center" wrapText="0"/>
    </xf>
    <xf borderId="0" fillId="0" fontId="12" numFmtId="0" xfId="0" applyAlignment="1" applyFont="1">
      <alignment readingOrder="0" shrinkToFit="0" vertical="top" wrapText="0"/>
    </xf>
    <xf borderId="4" fillId="0" fontId="9" numFmtId="0" xfId="0" applyAlignment="1" applyBorder="1" applyFont="1">
      <alignment readingOrder="0" shrinkToFit="0" vertical="top" wrapText="0"/>
    </xf>
    <xf borderId="4" fillId="0" fontId="0" numFmtId="4" xfId="0" applyAlignment="1" applyBorder="1" applyFont="1" applyNumberFormat="1">
      <alignment horizontal="center" shrinkToFit="0" vertical="top" wrapText="0"/>
    </xf>
    <xf borderId="0" fillId="0" fontId="16" numFmtId="0" xfId="0" applyAlignment="1" applyFont="1">
      <alignment horizontal="center" readingOrder="0" shrinkToFit="0" vertical="center" wrapText="0"/>
    </xf>
    <xf borderId="1" fillId="2" fontId="16" numFmtId="0" xfId="0" applyAlignment="1" applyBorder="1" applyFont="1">
      <alignment horizontal="center" readingOrder="0" shrinkToFit="0" vertical="center" wrapText="0"/>
    </xf>
    <xf borderId="0" fillId="0" fontId="16" numFmtId="0" xfId="0" applyAlignment="1" applyFont="1">
      <alignment readingOrder="0" shrinkToFit="0" vertical="center" wrapText="0"/>
    </xf>
    <xf borderId="4" fillId="3" fontId="17" numFmtId="0" xfId="0" applyAlignment="1" applyBorder="1" applyFont="1">
      <alignment readingOrder="0" vertical="center"/>
    </xf>
    <xf borderId="0" fillId="0" fontId="18" numFmtId="0" xfId="0" applyAlignment="1" applyFont="1">
      <alignment readingOrder="0" shrinkToFit="0" vertical="center" wrapText="0"/>
    </xf>
    <xf borderId="4" fillId="0" fontId="9" numFmtId="0" xfId="0" applyAlignment="1" applyBorder="1" applyFont="1">
      <alignment readingOrder="0" shrinkToFit="0" vertical="center" wrapText="0"/>
    </xf>
    <xf borderId="4" fillId="0" fontId="13" numFmtId="4" xfId="0" applyAlignment="1" applyBorder="1" applyFont="1" applyNumberFormat="1">
      <alignment horizontal="center" readingOrder="0" shrinkToFit="0" vertical="center" wrapText="0"/>
    </xf>
    <xf borderId="4" fillId="0" fontId="17" numFmtId="0" xfId="0" applyAlignment="1" applyBorder="1" applyFont="1">
      <alignment readingOrder="0" vertical="center"/>
    </xf>
    <xf borderId="4" fillId="0" fontId="11" numFmtId="4" xfId="0" applyAlignment="1" applyBorder="1" applyFont="1" applyNumberFormat="1">
      <alignment readingOrder="0" vertical="center"/>
    </xf>
    <xf borderId="0" fillId="0" fontId="19" numFmtId="0" xfId="0" applyAlignment="1" applyFont="1">
      <alignment readingOrder="0" shrinkToFit="0" vertical="center" wrapText="0"/>
    </xf>
    <xf borderId="4" fillId="0" fontId="10" numFmtId="0" xfId="0" applyAlignment="1" applyBorder="1" applyFont="1">
      <alignment readingOrder="0" shrinkToFit="0" vertical="center" wrapText="0"/>
    </xf>
    <xf borderId="4" fillId="0" fontId="4" numFmtId="0" xfId="0" applyAlignment="1" applyBorder="1" applyFont="1">
      <alignment readingOrder="0" vertical="center"/>
    </xf>
    <xf borderId="4" fillId="0" fontId="3" numFmtId="4" xfId="0" applyAlignment="1" applyBorder="1" applyFont="1" applyNumberFormat="1">
      <alignment readingOrder="0" vertical="center"/>
    </xf>
    <xf borderId="0" fillId="0" fontId="19" numFmtId="0" xfId="0" applyAlignment="1" applyFont="1">
      <alignment shrinkToFit="0" vertical="bottom" wrapText="0"/>
    </xf>
    <xf borderId="0" fillId="0" fontId="16" numFmtId="0" xfId="0" applyAlignment="1" applyFont="1">
      <alignment horizontal="center" readingOrder="0" shrinkToFit="0" vertical="bottom" wrapText="0"/>
    </xf>
    <xf borderId="1" fillId="2" fontId="16" numFmtId="0" xfId="0" applyAlignment="1" applyBorder="1" applyFont="1">
      <alignment horizontal="center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4" fillId="3" fontId="10" numFmtId="0" xfId="0" applyAlignment="1" applyBorder="1" applyFont="1">
      <alignment readingOrder="0" shrinkToFit="0" vertical="bottom" wrapText="0"/>
    </xf>
    <xf borderId="4" fillId="3" fontId="10" numFmtId="49" xfId="0" applyAlignment="1" applyBorder="1" applyFont="1" applyNumberFormat="1">
      <alignment horizontal="center" readingOrder="0" shrinkToFit="0" vertical="bottom" wrapText="0"/>
    </xf>
    <xf borderId="0" fillId="0" fontId="18" numFmtId="0" xfId="0" applyAlignment="1" applyFont="1">
      <alignment readingOrder="0" shrinkToFit="0" vertical="bottom" wrapText="0"/>
    </xf>
    <xf borderId="4" fillId="0" fontId="16" numFmtId="0" xfId="0" applyAlignment="1" applyBorder="1" applyFont="1">
      <alignment readingOrder="0" shrinkToFit="0" vertical="bottom" wrapText="0"/>
    </xf>
    <xf borderId="4" fillId="0" fontId="19" numFmtId="4" xfId="0" applyAlignment="1" applyBorder="1" applyFont="1" applyNumberFormat="1">
      <alignment horizontal="center" readingOrder="0" shrinkToFit="0" vertical="bottom" wrapText="0"/>
    </xf>
    <xf borderId="0" fillId="0" fontId="19" numFmtId="0" xfId="0" applyAlignment="1" applyFont="1">
      <alignment shrinkToFit="0" vertical="center" wrapText="0"/>
    </xf>
    <xf borderId="0" fillId="0" fontId="14" numFmtId="0" xfId="0" applyAlignment="1" applyFont="1">
      <alignment shrinkToFit="0" vertical="center" wrapText="0"/>
    </xf>
    <xf borderId="0" fillId="0" fontId="1" numFmtId="0" xfId="0" applyAlignment="1" applyFont="1">
      <alignment vertical="center"/>
    </xf>
    <xf borderId="0" fillId="0" fontId="1" numFmtId="0" xfId="0" applyFont="1"/>
    <xf borderId="0" fillId="0" fontId="13" numFmtId="0" xfId="0" applyAlignment="1" applyFont="1">
      <alignment shrinkToFit="0" vertical="center" wrapText="0"/>
    </xf>
    <xf borderId="4" fillId="3" fontId="10" numFmtId="0" xfId="0" applyAlignment="1" applyBorder="1" applyFont="1">
      <alignment horizontal="left" readingOrder="0" shrinkToFit="0" vertical="center" wrapText="0"/>
    </xf>
    <xf borderId="4" fillId="0" fontId="9" numFmtId="0" xfId="0" applyAlignment="1" applyBorder="1" applyFont="1">
      <alignment horizontal="left"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800">
                <a:solidFill>
                  <a:srgbClr val="757575"/>
                </a:solidFill>
                <a:latin typeface="+mn-lt"/>
              </a:defRPr>
            </a:pPr>
            <a:r>
              <a:rPr b="0" sz="1800">
                <a:solidFill>
                  <a:srgbClr val="757575"/>
                </a:solidFill>
                <a:latin typeface="+mn-lt"/>
              </a:rPr>
              <a:t>Current Ratio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'Liquidity Ratio'!$B$5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'Liquidity Ratio'!$C$4:$F$4</c:f>
            </c:strRef>
          </c:cat>
          <c:val>
            <c:numRef>
              <c:f>'Liquidity Ratio'!$C$5:$F$5</c:f>
              <c:numCache/>
            </c:numRef>
          </c:val>
          <c:smooth val="0"/>
        </c:ser>
        <c:ser>
          <c:idx val="1"/>
          <c:order val="1"/>
          <c:tx>
            <c:strRef>
              <c:f>'Liquidity Ratio'!$B$6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'Liquidity Ratio'!$C$4:$F$4</c:f>
            </c:strRef>
          </c:cat>
          <c:val>
            <c:numRef>
              <c:f>'Liquidity Ratio'!$C$6:$F$6</c:f>
              <c:numCache/>
            </c:numRef>
          </c:val>
          <c:smooth val="0"/>
        </c:ser>
        <c:ser>
          <c:idx val="2"/>
          <c:order val="2"/>
          <c:tx>
            <c:strRef>
              <c:f>'Liquidity Ratio'!$B$7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'Liquidity Ratio'!$C$4:$F$4</c:f>
            </c:strRef>
          </c:cat>
          <c:val>
            <c:numRef>
              <c:f>'Liquidity Ratio'!$C$7:$F$7</c:f>
              <c:numCache/>
            </c:numRef>
          </c:val>
          <c:smooth val="0"/>
        </c:ser>
        <c:axId val="592006438"/>
        <c:axId val="884673178"/>
      </c:lineChart>
      <c:catAx>
        <c:axId val="5920064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Company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4673178"/>
      </c:catAx>
      <c:valAx>
        <c:axId val="8846731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20064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800">
                <a:solidFill>
                  <a:srgbClr val="757575"/>
                </a:solidFill>
                <a:latin typeface="+mn-lt"/>
              </a:defRPr>
            </a:pPr>
            <a:r>
              <a:rPr b="0" sz="1800">
                <a:solidFill>
                  <a:srgbClr val="757575"/>
                </a:solidFill>
                <a:latin typeface="+mn-lt"/>
              </a:rPr>
              <a:t>Quick Ratio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'Liquidity Ratio'!$B$12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'Liquidity Ratio'!$C$11:$F$11</c:f>
            </c:strRef>
          </c:cat>
          <c:val>
            <c:numRef>
              <c:f>'Liquidity Ratio'!$C$12:$F$12</c:f>
              <c:numCache/>
            </c:numRef>
          </c:val>
          <c:smooth val="0"/>
        </c:ser>
        <c:ser>
          <c:idx val="1"/>
          <c:order val="1"/>
          <c:tx>
            <c:strRef>
              <c:f>'Liquidity Ratio'!$B$13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'Liquidity Ratio'!$C$11:$F$11</c:f>
            </c:strRef>
          </c:cat>
          <c:val>
            <c:numRef>
              <c:f>'Liquidity Ratio'!$C$13:$F$13</c:f>
              <c:numCache/>
            </c:numRef>
          </c:val>
          <c:smooth val="0"/>
        </c:ser>
        <c:ser>
          <c:idx val="2"/>
          <c:order val="2"/>
          <c:tx>
            <c:strRef>
              <c:f>'Liquidity Ratio'!$B$14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'Liquidity Ratio'!$C$11:$F$11</c:f>
            </c:strRef>
          </c:cat>
          <c:val>
            <c:numRef>
              <c:f>'Liquidity Ratio'!$C$14:$F$14</c:f>
              <c:numCache/>
            </c:numRef>
          </c:val>
          <c:smooth val="0"/>
        </c:ser>
        <c:axId val="1023757937"/>
        <c:axId val="1476504633"/>
      </c:lineChart>
      <c:catAx>
        <c:axId val="10237579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Company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6504633"/>
      </c:catAx>
      <c:valAx>
        <c:axId val="14765046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37579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800">
                <a:solidFill>
                  <a:srgbClr val="757575"/>
                </a:solidFill>
                <a:latin typeface="+mn-lt"/>
              </a:defRPr>
            </a:pPr>
            <a:r>
              <a:rPr b="0" sz="1800">
                <a:solidFill>
                  <a:srgbClr val="757575"/>
                </a:solidFill>
                <a:latin typeface="+mn-lt"/>
              </a:rPr>
              <a:t>Cash Ratio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'Liquidity Ratio'!$B$19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'Liquidity Ratio'!$C$18:$F$18</c:f>
            </c:strRef>
          </c:cat>
          <c:val>
            <c:numRef>
              <c:f>'Liquidity Ratio'!$C$19:$F$19</c:f>
              <c:numCache/>
            </c:numRef>
          </c:val>
          <c:smooth val="0"/>
        </c:ser>
        <c:ser>
          <c:idx val="1"/>
          <c:order val="1"/>
          <c:tx>
            <c:strRef>
              <c:f>'Liquidity Ratio'!$B$20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'Liquidity Ratio'!$C$18:$F$18</c:f>
            </c:strRef>
          </c:cat>
          <c:val>
            <c:numRef>
              <c:f>'Liquidity Ratio'!$C$20:$F$20</c:f>
              <c:numCache/>
            </c:numRef>
          </c:val>
          <c:smooth val="0"/>
        </c:ser>
        <c:ser>
          <c:idx val="2"/>
          <c:order val="2"/>
          <c:tx>
            <c:strRef>
              <c:f>'Liquidity Ratio'!$B$21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'Liquidity Ratio'!$C$18:$F$18</c:f>
            </c:strRef>
          </c:cat>
          <c:val>
            <c:numRef>
              <c:f>'Liquidity Ratio'!$C$21:$F$21</c:f>
              <c:numCache/>
            </c:numRef>
          </c:val>
          <c:smooth val="0"/>
        </c:ser>
        <c:axId val="342492672"/>
        <c:axId val="2019177605"/>
      </c:lineChart>
      <c:catAx>
        <c:axId val="3424926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Company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9177605"/>
      </c:catAx>
      <c:valAx>
        <c:axId val="20191776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24926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800">
                <a:solidFill>
                  <a:srgbClr val="757575"/>
                </a:solidFill>
                <a:latin typeface="+mn-lt"/>
              </a:defRPr>
            </a:pPr>
            <a:r>
              <a:rPr b="0" sz="1800">
                <a:solidFill>
                  <a:srgbClr val="757575"/>
                </a:solidFill>
                <a:latin typeface="+mn-lt"/>
              </a:rPr>
              <a:t>FAT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'Effectivity Ratio'!$B$17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'Effectivity Ratio'!$C$16:$F$16</c:f>
            </c:strRef>
          </c:cat>
          <c:val>
            <c:numRef>
              <c:f>'Effectivity Ratio'!$C$17:$F$17</c:f>
              <c:numCache/>
            </c:numRef>
          </c:val>
          <c:smooth val="0"/>
        </c:ser>
        <c:ser>
          <c:idx val="1"/>
          <c:order val="1"/>
          <c:tx>
            <c:strRef>
              <c:f>'Effectivity Ratio'!$B$18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'Effectivity Ratio'!$C$16:$F$16</c:f>
            </c:strRef>
          </c:cat>
          <c:val>
            <c:numRef>
              <c:f>'Effectivity Ratio'!$C$18:$F$18</c:f>
              <c:numCache/>
            </c:numRef>
          </c:val>
          <c:smooth val="0"/>
        </c:ser>
        <c:axId val="1495604453"/>
        <c:axId val="2103103724"/>
      </c:lineChart>
      <c:catAx>
        <c:axId val="14956044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Company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3103724"/>
      </c:catAx>
      <c:valAx>
        <c:axId val="21031037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56044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800">
                <a:solidFill>
                  <a:srgbClr val="757575"/>
                </a:solidFill>
                <a:latin typeface="+mn-lt"/>
              </a:defRPr>
            </a:pPr>
            <a:r>
              <a:rPr b="0" sz="1800">
                <a:solidFill>
                  <a:srgbClr val="757575"/>
                </a:solidFill>
                <a:latin typeface="+mn-lt"/>
              </a:rPr>
              <a:t>TAT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'Effectivity Ratio'!$B$23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'Effectivity Ratio'!$C$22:$F$22</c:f>
            </c:strRef>
          </c:cat>
          <c:val>
            <c:numRef>
              <c:f>'Effectivity Ratio'!$C$23:$F$23</c:f>
              <c:numCache/>
            </c:numRef>
          </c:val>
          <c:smooth val="0"/>
        </c:ser>
        <c:ser>
          <c:idx val="1"/>
          <c:order val="1"/>
          <c:tx>
            <c:strRef>
              <c:f>'Effectivity Ratio'!$B$24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'Effectivity Ratio'!$C$22:$F$22</c:f>
            </c:strRef>
          </c:cat>
          <c:val>
            <c:numRef>
              <c:f>'Effectivity Ratio'!$C$24:$F$24</c:f>
              <c:numCache/>
            </c:numRef>
          </c:val>
          <c:smooth val="0"/>
        </c:ser>
        <c:axId val="960034019"/>
        <c:axId val="1384852427"/>
      </c:lineChart>
      <c:catAx>
        <c:axId val="9600340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Company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4852427"/>
      </c:catAx>
      <c:valAx>
        <c:axId val="13848524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00340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800">
                <a:solidFill>
                  <a:srgbClr val="757575"/>
                </a:solidFill>
                <a:latin typeface="+mn-lt"/>
              </a:defRPr>
            </a:pPr>
            <a:r>
              <a:rPr b="0" sz="1800">
                <a:solidFill>
                  <a:srgbClr val="757575"/>
                </a:solidFill>
                <a:latin typeface="+mn-lt"/>
              </a:rPr>
              <a:t>ART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'Effectivity Ratio'!$H$5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'Effectivity Ratio'!$I$4:$L$4</c:f>
            </c:strRef>
          </c:cat>
          <c:val>
            <c:numRef>
              <c:f>'Effectivity Ratio'!$I$5:$L$5</c:f>
              <c:numCache/>
            </c:numRef>
          </c:val>
          <c:smooth val="0"/>
        </c:ser>
        <c:ser>
          <c:idx val="1"/>
          <c:order val="1"/>
          <c:tx>
            <c:strRef>
              <c:f>'Effectivity Ratio'!$H$6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'Effectivity Ratio'!$I$4:$L$4</c:f>
            </c:strRef>
          </c:cat>
          <c:val>
            <c:numRef>
              <c:f>'Effectivity Ratio'!$I$6:$L$6</c:f>
              <c:numCache/>
            </c:numRef>
          </c:val>
          <c:smooth val="0"/>
        </c:ser>
        <c:axId val="435281026"/>
        <c:axId val="789955786"/>
      </c:lineChart>
      <c:catAx>
        <c:axId val="4352810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9955786"/>
      </c:catAx>
      <c:valAx>
        <c:axId val="7899557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52810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800">
                <a:solidFill>
                  <a:srgbClr val="757575"/>
                </a:solidFill>
                <a:latin typeface="+mn-lt"/>
              </a:defRPr>
            </a:pPr>
            <a:r>
              <a:rPr b="0" sz="1800">
                <a:solidFill>
                  <a:srgbClr val="757575"/>
                </a:solidFill>
                <a:latin typeface="+mn-lt"/>
              </a:rPr>
              <a:t>DSO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'Effectivity Ratio'!$H$11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'Effectivity Ratio'!$I$10:$L$10</c:f>
            </c:strRef>
          </c:cat>
          <c:val>
            <c:numRef>
              <c:f>'Effectivity Ratio'!$I$11:$L$11</c:f>
              <c:numCache/>
            </c:numRef>
          </c:val>
          <c:smooth val="0"/>
        </c:ser>
        <c:ser>
          <c:idx val="1"/>
          <c:order val="1"/>
          <c:tx>
            <c:strRef>
              <c:f>'Effectivity Ratio'!$H$12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'Effectivity Ratio'!$I$10:$L$10</c:f>
            </c:strRef>
          </c:cat>
          <c:val>
            <c:numRef>
              <c:f>'Effectivity Ratio'!$I$12:$L$12</c:f>
              <c:numCache/>
            </c:numRef>
          </c:val>
          <c:smooth val="0"/>
        </c:ser>
        <c:axId val="1576916878"/>
        <c:axId val="916650627"/>
      </c:lineChart>
      <c:catAx>
        <c:axId val="15769168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6650627"/>
      </c:catAx>
      <c:valAx>
        <c:axId val="9166506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69168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800">
                <a:solidFill>
                  <a:srgbClr val="757575"/>
                </a:solidFill>
                <a:latin typeface="+mn-lt"/>
              </a:defRPr>
            </a:pPr>
            <a:r>
              <a:rPr b="0" sz="1800">
                <a:solidFill>
                  <a:srgbClr val="757575"/>
                </a:solidFill>
                <a:latin typeface="+mn-lt"/>
              </a:rPr>
              <a:t>Operating Profit Margin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'Profitability Ratio'!$B$5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'Profitability Ratio'!$C$4:$F$4</c:f>
            </c:strRef>
          </c:cat>
          <c:val>
            <c:numRef>
              <c:f>'Profitability Ratio'!$C$5:$F$5</c:f>
              <c:numCache/>
            </c:numRef>
          </c:val>
          <c:smooth val="0"/>
        </c:ser>
        <c:ser>
          <c:idx val="1"/>
          <c:order val="1"/>
          <c:tx>
            <c:strRef>
              <c:f>'Profitability Ratio'!$B$6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'Profitability Ratio'!$C$4:$F$4</c:f>
            </c:strRef>
          </c:cat>
          <c:val>
            <c:numRef>
              <c:f>'Profitability Ratio'!$C$6:$F$6</c:f>
              <c:numCache/>
            </c:numRef>
          </c:val>
          <c:smooth val="0"/>
        </c:ser>
        <c:axId val="1832111490"/>
        <c:axId val="1314068553"/>
      </c:lineChart>
      <c:catAx>
        <c:axId val="18321114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Company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4068553"/>
      </c:catAx>
      <c:valAx>
        <c:axId val="13140685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21114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800">
                <a:solidFill>
                  <a:srgbClr val="757575"/>
                </a:solidFill>
                <a:latin typeface="+mn-lt"/>
              </a:defRPr>
            </a:pPr>
            <a:r>
              <a:rPr b="0" sz="1800">
                <a:solidFill>
                  <a:srgbClr val="757575"/>
                </a:solidFill>
                <a:latin typeface="+mn-lt"/>
              </a:rPr>
              <a:t>Net Profit Margin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'Profitability Ratio'!$B$11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'Profitability Ratio'!$C$10:$F$10</c:f>
            </c:strRef>
          </c:cat>
          <c:val>
            <c:numRef>
              <c:f>'Profitability Ratio'!$C$11:$F$11</c:f>
              <c:numCache/>
            </c:numRef>
          </c:val>
          <c:smooth val="0"/>
        </c:ser>
        <c:ser>
          <c:idx val="1"/>
          <c:order val="1"/>
          <c:tx>
            <c:strRef>
              <c:f>'Profitability Ratio'!$B$12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'Profitability Ratio'!$C$10:$F$10</c:f>
            </c:strRef>
          </c:cat>
          <c:val>
            <c:numRef>
              <c:f>'Profitability Ratio'!$C$12:$F$12</c:f>
              <c:numCache/>
            </c:numRef>
          </c:val>
          <c:smooth val="0"/>
        </c:ser>
        <c:axId val="1009265772"/>
        <c:axId val="1740240377"/>
      </c:lineChart>
      <c:catAx>
        <c:axId val="10092657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Company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0240377"/>
      </c:catAx>
      <c:valAx>
        <c:axId val="17402403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92657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800">
                <a:solidFill>
                  <a:srgbClr val="757575"/>
                </a:solidFill>
                <a:latin typeface="+mn-lt"/>
              </a:defRPr>
            </a:pPr>
            <a:r>
              <a:rPr b="0" sz="1800">
                <a:solidFill>
                  <a:srgbClr val="757575"/>
                </a:solidFill>
                <a:latin typeface="+mn-lt"/>
              </a:rPr>
              <a:t>Return on Equity (ROE)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'Profitability Ratio'!$B$17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'Profitability Ratio'!$C$16:$F$16</c:f>
            </c:strRef>
          </c:cat>
          <c:val>
            <c:numRef>
              <c:f>'Profitability Ratio'!$C$17:$F$17</c:f>
              <c:numCache/>
            </c:numRef>
          </c:val>
          <c:smooth val="0"/>
        </c:ser>
        <c:ser>
          <c:idx val="1"/>
          <c:order val="1"/>
          <c:tx>
            <c:strRef>
              <c:f>'Profitability Ratio'!$B$18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'Profitability Ratio'!$C$16:$F$16</c:f>
            </c:strRef>
          </c:cat>
          <c:val>
            <c:numRef>
              <c:f>'Profitability Ratio'!$C$18:$F$18</c:f>
              <c:numCache/>
            </c:numRef>
          </c:val>
          <c:smooth val="0"/>
        </c:ser>
        <c:axId val="201206823"/>
        <c:axId val="636129124"/>
      </c:lineChart>
      <c:catAx>
        <c:axId val="2012068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Company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6129124"/>
      </c:catAx>
      <c:valAx>
        <c:axId val="6361291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2068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800">
                <a:solidFill>
                  <a:srgbClr val="757575"/>
                </a:solidFill>
                <a:latin typeface="+mn-lt"/>
              </a:defRPr>
            </a:pPr>
            <a:r>
              <a:rPr b="0" sz="1800">
                <a:solidFill>
                  <a:srgbClr val="757575"/>
                </a:solidFill>
                <a:latin typeface="+mn-lt"/>
              </a:rPr>
              <a:t>Return on Asset (ROA)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'Profitability Ratio'!$B$23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'Profitability Ratio'!$C$22:$F$22</c:f>
            </c:strRef>
          </c:cat>
          <c:val>
            <c:numRef>
              <c:f>'Profitability Ratio'!$C$23:$F$23</c:f>
              <c:numCache/>
            </c:numRef>
          </c:val>
          <c:smooth val="0"/>
        </c:ser>
        <c:ser>
          <c:idx val="1"/>
          <c:order val="1"/>
          <c:tx>
            <c:strRef>
              <c:f>'Profitability Ratio'!$B$24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'Profitability Ratio'!$C$22:$F$22</c:f>
            </c:strRef>
          </c:cat>
          <c:val>
            <c:numRef>
              <c:f>'Profitability Ratio'!$C$24:$F$24</c:f>
              <c:numCache/>
            </c:numRef>
          </c:val>
          <c:smooth val="0"/>
        </c:ser>
        <c:axId val="168094435"/>
        <c:axId val="1428108386"/>
      </c:lineChart>
      <c:catAx>
        <c:axId val="1680944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Company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8108386"/>
      </c:catAx>
      <c:valAx>
        <c:axId val="14281083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0944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Relationship Id="rId4" Type="http://schemas.openxmlformats.org/officeDocument/2006/relationships/chart" Target="../charts/chart7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Relationship Id="rId3" Type="http://schemas.openxmlformats.org/officeDocument/2006/relationships/chart" Target="../charts/chart10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952500</xdr:colOff>
      <xdr:row>1</xdr:row>
      <xdr:rowOff>190500</xdr:rowOff>
    </xdr:from>
    <xdr:ext cx="3829050" cy="23050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952500</xdr:colOff>
      <xdr:row>1</xdr:row>
      <xdr:rowOff>190500</xdr:rowOff>
    </xdr:from>
    <xdr:ext cx="3829050" cy="23050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495300</xdr:colOff>
      <xdr:row>14</xdr:row>
      <xdr:rowOff>190500</xdr:rowOff>
    </xdr:from>
    <xdr:ext cx="3829050" cy="22193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952500</xdr:colOff>
      <xdr:row>15</xdr:row>
      <xdr:rowOff>0</xdr:rowOff>
    </xdr:from>
    <xdr:ext cx="3838575" cy="22669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17</xdr:col>
      <xdr:colOff>962025</xdr:colOff>
      <xdr:row>15</xdr:row>
      <xdr:rowOff>0</xdr:rowOff>
    </xdr:from>
    <xdr:ext cx="3838575" cy="226695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12</xdr:col>
      <xdr:colOff>952500</xdr:colOff>
      <xdr:row>1</xdr:row>
      <xdr:rowOff>190500</xdr:rowOff>
    </xdr:from>
    <xdr:ext cx="3838575" cy="232410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17</xdr:col>
      <xdr:colOff>962025</xdr:colOff>
      <xdr:row>1</xdr:row>
      <xdr:rowOff>190500</xdr:rowOff>
    </xdr:from>
    <xdr:ext cx="3838575" cy="232410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952500</xdr:colOff>
      <xdr:row>1</xdr:row>
      <xdr:rowOff>190500</xdr:rowOff>
    </xdr:from>
    <xdr:ext cx="3829050" cy="224790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962025</xdr:colOff>
      <xdr:row>1</xdr:row>
      <xdr:rowOff>190500</xdr:rowOff>
    </xdr:from>
    <xdr:ext cx="3829050" cy="2247900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952500</xdr:colOff>
      <xdr:row>14</xdr:row>
      <xdr:rowOff>190500</xdr:rowOff>
    </xdr:from>
    <xdr:ext cx="3829050" cy="2247900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11</xdr:col>
      <xdr:colOff>962025</xdr:colOff>
      <xdr:row>14</xdr:row>
      <xdr:rowOff>190500</xdr:rowOff>
    </xdr:from>
    <xdr:ext cx="3829050" cy="2247900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5"/>
    <col customWidth="1" min="3" max="3" width="62.63"/>
    <col customWidth="1" min="4" max="4" width="12.63"/>
    <col customWidth="1" min="9" max="9" width="62.63"/>
  </cols>
  <sheetData>
    <row r="3" ht="18.75" customHeight="1">
      <c r="B3" s="1" t="s">
        <v>0</v>
      </c>
      <c r="C3" s="2"/>
      <c r="D3" s="2"/>
      <c r="E3" s="2"/>
      <c r="F3" s="2"/>
      <c r="G3" s="3"/>
      <c r="I3" s="1" t="s">
        <v>1</v>
      </c>
      <c r="J3" s="2"/>
      <c r="K3" s="2"/>
      <c r="L3" s="2"/>
      <c r="M3" s="3"/>
    </row>
    <row r="4" ht="17.25" customHeight="1">
      <c r="B4" s="4"/>
      <c r="C4" s="5" t="s">
        <v>2</v>
      </c>
      <c r="D4" s="6" t="s">
        <v>3</v>
      </c>
      <c r="E4" s="6" t="s">
        <v>4</v>
      </c>
      <c r="F4" s="6" t="s">
        <v>5</v>
      </c>
      <c r="G4" s="6" t="s">
        <v>6</v>
      </c>
      <c r="I4" s="7" t="s">
        <v>2</v>
      </c>
      <c r="J4" s="6" t="s">
        <v>3</v>
      </c>
      <c r="K4" s="6" t="s">
        <v>4</v>
      </c>
      <c r="L4" s="6" t="s">
        <v>5</v>
      </c>
      <c r="M4" s="6" t="s">
        <v>6</v>
      </c>
    </row>
    <row r="5">
      <c r="B5" s="8" t="s">
        <v>7</v>
      </c>
      <c r="C5" s="9" t="s">
        <v>8</v>
      </c>
      <c r="D5" s="10">
        <v>18870.35</v>
      </c>
      <c r="E5" s="10">
        <v>16535.78</v>
      </c>
      <c r="F5" s="10">
        <v>14442.18</v>
      </c>
      <c r="G5" s="10">
        <v>10297.83</v>
      </c>
      <c r="I5" s="11" t="s">
        <v>9</v>
      </c>
      <c r="J5" s="12">
        <v>20175.25</v>
      </c>
      <c r="K5" s="12">
        <v>17611.65</v>
      </c>
      <c r="L5" s="12">
        <v>15037.29</v>
      </c>
      <c r="M5" s="12">
        <v>10738.65</v>
      </c>
    </row>
    <row r="6">
      <c r="B6" s="13"/>
      <c r="C6" s="9" t="s">
        <v>10</v>
      </c>
      <c r="D6" s="10">
        <v>1304.9</v>
      </c>
      <c r="E6" s="10">
        <v>1075.87</v>
      </c>
      <c r="F6" s="10">
        <v>595.11</v>
      </c>
      <c r="G6" s="10">
        <v>440.82</v>
      </c>
      <c r="I6" s="9" t="s">
        <v>11</v>
      </c>
      <c r="J6" s="14">
        <f t="shared" ref="J6:M6" si="1">D8/J5</f>
        <v>0.4933351507</v>
      </c>
      <c r="K6" s="14">
        <f t="shared" si="1"/>
        <v>0.4953028251</v>
      </c>
      <c r="L6" s="14">
        <f t="shared" si="1"/>
        <v>0.5216332198</v>
      </c>
      <c r="M6" s="14">
        <f t="shared" si="1"/>
        <v>0.5368682283</v>
      </c>
    </row>
    <row r="7">
      <c r="B7" s="15"/>
      <c r="C7" s="16" t="s">
        <v>9</v>
      </c>
      <c r="D7" s="17">
        <f t="shared" ref="D7:G7" si="2">D5+D6</f>
        <v>20175.25</v>
      </c>
      <c r="E7" s="17">
        <f t="shared" si="2"/>
        <v>17611.65</v>
      </c>
      <c r="F7" s="17">
        <f t="shared" si="2"/>
        <v>15037.29</v>
      </c>
      <c r="G7" s="17">
        <f t="shared" si="2"/>
        <v>10738.65</v>
      </c>
      <c r="I7" s="9" t="s">
        <v>12</v>
      </c>
      <c r="J7" s="14">
        <f t="shared" ref="J7:M7" si="3">D9/J5</f>
        <v>0.02515111337</v>
      </c>
      <c r="K7" s="14">
        <f t="shared" si="3"/>
        <v>0.02581132375</v>
      </c>
      <c r="L7" s="14">
        <f t="shared" si="3"/>
        <v>0.02867537967</v>
      </c>
      <c r="M7" s="14">
        <f t="shared" si="3"/>
        <v>0.03157100753</v>
      </c>
    </row>
    <row r="8">
      <c r="B8" s="8" t="s">
        <v>13</v>
      </c>
      <c r="C8" s="9" t="s">
        <v>11</v>
      </c>
      <c r="D8" s="10">
        <v>9953.16</v>
      </c>
      <c r="E8" s="10">
        <v>8723.1</v>
      </c>
      <c r="F8" s="10">
        <v>7843.95</v>
      </c>
      <c r="G8" s="10">
        <v>5765.24</v>
      </c>
      <c r="I8" s="18" t="s">
        <v>14</v>
      </c>
      <c r="J8" s="19">
        <f t="shared" ref="J8:M8" si="4">D11/J5</f>
        <v>0.5103817797</v>
      </c>
      <c r="K8" s="19">
        <f t="shared" si="4"/>
        <v>0.5099266679</v>
      </c>
      <c r="L8" s="19">
        <f t="shared" si="4"/>
        <v>0.5461023895</v>
      </c>
      <c r="M8" s="19">
        <f t="shared" si="4"/>
        <v>0.554602301</v>
      </c>
    </row>
    <row r="9">
      <c r="B9" s="13"/>
      <c r="C9" s="9" t="s">
        <v>12</v>
      </c>
      <c r="D9" s="10">
        <v>507.43</v>
      </c>
      <c r="E9" s="10">
        <v>454.58</v>
      </c>
      <c r="F9" s="10">
        <v>431.2</v>
      </c>
      <c r="G9" s="10">
        <v>339.03</v>
      </c>
      <c r="I9" s="20" t="s">
        <v>15</v>
      </c>
      <c r="J9" s="21">
        <f t="shared" ref="J9:M9" si="5">D12/J5</f>
        <v>0.4896182203</v>
      </c>
      <c r="K9" s="21">
        <f t="shared" si="5"/>
        <v>0.4900733321</v>
      </c>
      <c r="L9" s="21">
        <f t="shared" si="5"/>
        <v>0.4538976105</v>
      </c>
      <c r="M9" s="21">
        <f t="shared" si="5"/>
        <v>0.445397699</v>
      </c>
    </row>
    <row r="10">
      <c r="B10" s="13"/>
      <c r="C10" s="9" t="s">
        <v>16</v>
      </c>
      <c r="D10" s="10">
        <v>-163.51</v>
      </c>
      <c r="E10" s="10">
        <v>-197.03</v>
      </c>
      <c r="F10" s="10">
        <v>-63.25</v>
      </c>
      <c r="G10" s="10">
        <v>-148.59</v>
      </c>
      <c r="I10" s="9" t="s">
        <v>17</v>
      </c>
      <c r="J10" s="14">
        <f t="shared" ref="J10:M10" si="6">D14/J5</f>
        <v>0.06895726199</v>
      </c>
      <c r="K10" s="14">
        <f t="shared" si="6"/>
        <v>0.07016321583</v>
      </c>
      <c r="L10" s="14">
        <f t="shared" si="6"/>
        <v>0.06662969192</v>
      </c>
      <c r="M10" s="14">
        <f t="shared" si="6"/>
        <v>0.0764546754</v>
      </c>
    </row>
    <row r="11">
      <c r="B11" s="15"/>
      <c r="C11" s="16" t="s">
        <v>14</v>
      </c>
      <c r="D11" s="17">
        <f t="shared" ref="D11:G11" si="7">SUM(D8:D10)</f>
        <v>10297.08</v>
      </c>
      <c r="E11" s="17">
        <f t="shared" si="7"/>
        <v>8980.65</v>
      </c>
      <c r="F11" s="17">
        <f t="shared" si="7"/>
        <v>8211.9</v>
      </c>
      <c r="G11" s="17">
        <f t="shared" si="7"/>
        <v>5955.68</v>
      </c>
      <c r="I11" s="9" t="s">
        <v>18</v>
      </c>
      <c r="J11" s="14">
        <f t="shared" ref="J11:M11" si="8">D15/J5</f>
        <v>0.03614973792</v>
      </c>
      <c r="K11" s="14">
        <f t="shared" si="8"/>
        <v>0.03393208473</v>
      </c>
      <c r="L11" s="14">
        <f t="shared" si="8"/>
        <v>0.0349936724</v>
      </c>
      <c r="M11" s="14">
        <f t="shared" si="8"/>
        <v>0.04208443333</v>
      </c>
    </row>
    <row r="12">
      <c r="B12" s="22" t="s">
        <v>19</v>
      </c>
      <c r="C12" s="23" t="s">
        <v>15</v>
      </c>
      <c r="D12" s="24">
        <f t="shared" ref="D12:G12" si="9">D7-D11</f>
        <v>9878.17</v>
      </c>
      <c r="E12" s="24">
        <f t="shared" si="9"/>
        <v>8631</v>
      </c>
      <c r="F12" s="24">
        <f t="shared" si="9"/>
        <v>6825.39</v>
      </c>
      <c r="G12" s="24">
        <f t="shared" si="9"/>
        <v>4782.97</v>
      </c>
      <c r="I12" s="9" t="s">
        <v>20</v>
      </c>
      <c r="J12" s="14">
        <f t="shared" ref="J12:M12" si="10">D16/J5</f>
        <v>0.122427727</v>
      </c>
      <c r="K12" s="14">
        <f t="shared" si="10"/>
        <v>0.1131370428</v>
      </c>
      <c r="L12" s="14">
        <f t="shared" si="10"/>
        <v>0.1186896043</v>
      </c>
      <c r="M12" s="14">
        <f t="shared" si="10"/>
        <v>0.1256098299</v>
      </c>
    </row>
    <row r="13">
      <c r="B13" s="25"/>
      <c r="C13" s="9"/>
      <c r="D13" s="26"/>
      <c r="E13" s="26"/>
      <c r="F13" s="26"/>
      <c r="G13" s="26"/>
      <c r="I13" s="18" t="s">
        <v>21</v>
      </c>
      <c r="J13" s="19">
        <f t="shared" ref="J13:M13" si="11">D17/J5</f>
        <v>0.227534727</v>
      </c>
      <c r="K13" s="19">
        <f t="shared" si="11"/>
        <v>0.2172323434</v>
      </c>
      <c r="L13" s="19">
        <f t="shared" si="11"/>
        <v>0.2203129686</v>
      </c>
      <c r="M13" s="19">
        <f t="shared" si="11"/>
        <v>0.2441489386</v>
      </c>
    </row>
    <row r="14">
      <c r="B14" s="8" t="s">
        <v>22</v>
      </c>
      <c r="C14" s="9" t="s">
        <v>17</v>
      </c>
      <c r="D14" s="10">
        <v>1391.23</v>
      </c>
      <c r="E14" s="10">
        <v>1235.69</v>
      </c>
      <c r="F14" s="10">
        <v>1001.93</v>
      </c>
      <c r="G14" s="10">
        <v>821.02</v>
      </c>
      <c r="I14" s="20" t="s">
        <v>23</v>
      </c>
      <c r="J14" s="21">
        <f t="shared" ref="J14:M14" si="12">D18/J5</f>
        <v>0.2620834934</v>
      </c>
      <c r="K14" s="21">
        <f t="shared" si="12"/>
        <v>0.2728409888</v>
      </c>
      <c r="L14" s="21">
        <f t="shared" si="12"/>
        <v>0.2335846419</v>
      </c>
      <c r="M14" s="21">
        <f t="shared" si="12"/>
        <v>0.2012487603</v>
      </c>
    </row>
    <row r="15">
      <c r="B15" s="13"/>
      <c r="C15" s="9" t="s">
        <v>18</v>
      </c>
      <c r="D15" s="10">
        <v>729.33</v>
      </c>
      <c r="E15" s="10">
        <v>597.6</v>
      </c>
      <c r="F15" s="10">
        <v>526.21</v>
      </c>
      <c r="G15" s="10">
        <v>451.93</v>
      </c>
      <c r="I15" s="9" t="s">
        <v>24</v>
      </c>
      <c r="J15" s="14">
        <f t="shared" ref="J15:M15" si="13">D20/J5</f>
        <v>0.00269339909</v>
      </c>
      <c r="K15" s="14">
        <f t="shared" si="13"/>
        <v>0.002888996772</v>
      </c>
      <c r="L15" s="14">
        <f t="shared" si="13"/>
        <v>0.001863367668</v>
      </c>
      <c r="M15" s="14">
        <f t="shared" si="13"/>
        <v>0.001748823176</v>
      </c>
    </row>
    <row r="16">
      <c r="B16" s="13"/>
      <c r="C16" s="9" t="s">
        <v>20</v>
      </c>
      <c r="D16" s="10">
        <v>2470.01</v>
      </c>
      <c r="E16" s="10">
        <v>1992.53</v>
      </c>
      <c r="F16" s="10">
        <v>1784.77</v>
      </c>
      <c r="G16" s="10">
        <v>1348.88</v>
      </c>
      <c r="I16" s="9" t="s">
        <v>25</v>
      </c>
      <c r="J16" s="14">
        <f t="shared" ref="J16:M16" si="14">D21/J5</f>
        <v>0.03468655903</v>
      </c>
      <c r="K16" s="14">
        <f t="shared" si="14"/>
        <v>0.02542180886</v>
      </c>
      <c r="L16" s="14">
        <f t="shared" si="14"/>
        <v>0.02095922869</v>
      </c>
      <c r="M16" s="14">
        <f t="shared" si="14"/>
        <v>0.005601262729</v>
      </c>
    </row>
    <row r="17">
      <c r="B17" s="15"/>
      <c r="C17" s="16" t="s">
        <v>21</v>
      </c>
      <c r="D17" s="17">
        <f t="shared" ref="D17:G17" si="15">D14+D15+D16</f>
        <v>4590.57</v>
      </c>
      <c r="E17" s="17">
        <f t="shared" si="15"/>
        <v>3825.82</v>
      </c>
      <c r="F17" s="17">
        <f t="shared" si="15"/>
        <v>3312.91</v>
      </c>
      <c r="G17" s="17">
        <f t="shared" si="15"/>
        <v>2621.83</v>
      </c>
      <c r="I17" s="20" t="s">
        <v>26</v>
      </c>
      <c r="J17" s="21">
        <f t="shared" ref="J17:M17" si="16">D22/J5</f>
        <v>0.2940766533</v>
      </c>
      <c r="K17" s="21">
        <f t="shared" si="16"/>
        <v>0.2953738009</v>
      </c>
      <c r="L17" s="21">
        <f t="shared" si="16"/>
        <v>0.2526805029</v>
      </c>
      <c r="M17" s="21">
        <f t="shared" si="16"/>
        <v>0.2051011999</v>
      </c>
    </row>
    <row r="18">
      <c r="B18" s="22" t="s">
        <v>27</v>
      </c>
      <c r="C18" s="23" t="s">
        <v>23</v>
      </c>
      <c r="D18" s="24">
        <f t="shared" ref="D18:G18" si="17">D12-D17</f>
        <v>5287.6</v>
      </c>
      <c r="E18" s="24">
        <f t="shared" si="17"/>
        <v>4805.18</v>
      </c>
      <c r="F18" s="24">
        <f t="shared" si="17"/>
        <v>3512.48</v>
      </c>
      <c r="G18" s="24">
        <f t="shared" si="17"/>
        <v>2161.14</v>
      </c>
      <c r="I18" s="9" t="s">
        <v>28</v>
      </c>
      <c r="J18" s="27">
        <f t="shared" ref="J18:M18" si="18">D24/J5</f>
        <v>0.05554032788</v>
      </c>
      <c r="K18" s="27">
        <f t="shared" si="18"/>
        <v>0.05905636326</v>
      </c>
      <c r="L18" s="27">
        <f t="shared" si="18"/>
        <v>0.05447324618</v>
      </c>
      <c r="M18" s="27">
        <f t="shared" si="18"/>
        <v>0.04855545157</v>
      </c>
    </row>
    <row r="19">
      <c r="B19" s="28"/>
      <c r="C19" s="9"/>
      <c r="D19" s="26"/>
      <c r="E19" s="26"/>
      <c r="F19" s="26"/>
      <c r="G19" s="26"/>
      <c r="I19" s="9" t="s">
        <v>29</v>
      </c>
      <c r="J19" s="27">
        <f t="shared" ref="J19:M19" si="19">D25/J5</f>
        <v>0.003870584008</v>
      </c>
      <c r="K19" s="27">
        <f t="shared" si="19"/>
        <v>0.009137701465</v>
      </c>
      <c r="L19" s="27">
        <f t="shared" si="19"/>
        <v>0.004426329478</v>
      </c>
      <c r="M19" s="27">
        <f t="shared" si="19"/>
        <v>0.0004181158712</v>
      </c>
    </row>
    <row r="20">
      <c r="B20" s="29" t="s">
        <v>30</v>
      </c>
      <c r="C20" s="9" t="s">
        <v>24</v>
      </c>
      <c r="D20" s="10">
        <v>54.34</v>
      </c>
      <c r="E20" s="10">
        <v>50.88</v>
      </c>
      <c r="F20" s="10">
        <v>28.02</v>
      </c>
      <c r="G20" s="10">
        <v>18.78</v>
      </c>
      <c r="I20" s="18" t="s">
        <v>31</v>
      </c>
      <c r="J20" s="30">
        <f t="shared" ref="J20:M20" si="20">D26/J5</f>
        <v>0.05941091188</v>
      </c>
      <c r="K20" s="30">
        <f t="shared" si="20"/>
        <v>0.06819406472</v>
      </c>
      <c r="L20" s="30">
        <f t="shared" si="20"/>
        <v>0.05889957565</v>
      </c>
      <c r="M20" s="30">
        <f t="shared" si="20"/>
        <v>0.04897356744</v>
      </c>
    </row>
    <row r="21">
      <c r="B21" s="29" t="s">
        <v>32</v>
      </c>
      <c r="C21" s="9" t="s">
        <v>25</v>
      </c>
      <c r="D21" s="10">
        <v>699.81</v>
      </c>
      <c r="E21" s="10">
        <v>447.72</v>
      </c>
      <c r="F21" s="10">
        <v>315.17</v>
      </c>
      <c r="G21" s="10">
        <v>60.15</v>
      </c>
      <c r="I21" s="20" t="s">
        <v>33</v>
      </c>
      <c r="J21" s="21">
        <f t="shared" ref="J21:M21" si="21">D27/J5</f>
        <v>0.2346657414</v>
      </c>
      <c r="K21" s="21">
        <f t="shared" si="21"/>
        <v>0.2271797361</v>
      </c>
      <c r="L21" s="21">
        <f t="shared" si="21"/>
        <v>0.1937809273</v>
      </c>
      <c r="M21" s="21">
        <f t="shared" si="21"/>
        <v>0.1561276324</v>
      </c>
    </row>
    <row r="22">
      <c r="B22" s="22" t="s">
        <v>34</v>
      </c>
      <c r="C22" s="23" t="s">
        <v>26</v>
      </c>
      <c r="D22" s="24">
        <f t="shared" ref="D22:G22" si="22">D18-D20+D21</f>
        <v>5933.07</v>
      </c>
      <c r="E22" s="24">
        <f t="shared" si="22"/>
        <v>5202.02</v>
      </c>
      <c r="F22" s="24">
        <f t="shared" si="22"/>
        <v>3799.63</v>
      </c>
      <c r="G22" s="24">
        <f t="shared" si="22"/>
        <v>2202.51</v>
      </c>
    </row>
    <row r="23">
      <c r="B23" s="28"/>
      <c r="C23" s="9"/>
      <c r="D23" s="26"/>
      <c r="E23" s="26"/>
      <c r="F23" s="26"/>
      <c r="G23" s="26"/>
    </row>
    <row r="24">
      <c r="B24" s="8" t="s">
        <v>35</v>
      </c>
      <c r="C24" s="9" t="s">
        <v>28</v>
      </c>
      <c r="D24" s="10">
        <v>1120.54</v>
      </c>
      <c r="E24" s="10">
        <v>1040.08</v>
      </c>
      <c r="F24" s="10">
        <v>819.13</v>
      </c>
      <c r="G24" s="10">
        <v>521.42</v>
      </c>
    </row>
    <row r="25">
      <c r="B25" s="13"/>
      <c r="C25" s="9" t="s">
        <v>29</v>
      </c>
      <c r="D25" s="10">
        <v>78.09</v>
      </c>
      <c r="E25" s="10">
        <v>160.93</v>
      </c>
      <c r="F25" s="10">
        <v>66.56</v>
      </c>
      <c r="G25" s="10">
        <v>4.49</v>
      </c>
    </row>
    <row r="26">
      <c r="B26" s="15"/>
      <c r="C26" s="16" t="s">
        <v>31</v>
      </c>
      <c r="D26" s="31">
        <f t="shared" ref="D26:G26" si="23">D24+D25</f>
        <v>1198.63</v>
      </c>
      <c r="E26" s="31">
        <f t="shared" si="23"/>
        <v>1201.01</v>
      </c>
      <c r="F26" s="31">
        <f t="shared" si="23"/>
        <v>885.69</v>
      </c>
      <c r="G26" s="31">
        <f t="shared" si="23"/>
        <v>525.91</v>
      </c>
    </row>
    <row r="27">
      <c r="B27" s="22" t="s">
        <v>36</v>
      </c>
      <c r="C27" s="23" t="s">
        <v>33</v>
      </c>
      <c r="D27" s="24">
        <f t="shared" ref="D27:G27" si="24">D22-D26</f>
        <v>4734.44</v>
      </c>
      <c r="E27" s="24">
        <f t="shared" si="24"/>
        <v>4001.01</v>
      </c>
      <c r="F27" s="24">
        <f t="shared" si="24"/>
        <v>2913.94</v>
      </c>
      <c r="G27" s="24">
        <f t="shared" si="24"/>
        <v>1676.6</v>
      </c>
    </row>
    <row r="28">
      <c r="D28" s="32"/>
      <c r="E28" s="32"/>
      <c r="F28" s="32"/>
      <c r="G28" s="32"/>
    </row>
    <row r="29">
      <c r="D29" s="32"/>
      <c r="E29" s="32"/>
      <c r="F29" s="32"/>
      <c r="G29" s="32"/>
    </row>
    <row r="30">
      <c r="D30" s="32"/>
      <c r="E30" s="32"/>
      <c r="F30" s="32"/>
      <c r="G30" s="32"/>
    </row>
    <row r="31">
      <c r="D31" s="32"/>
      <c r="E31" s="32"/>
      <c r="F31" s="32"/>
      <c r="G31" s="32"/>
    </row>
  </sheetData>
  <mergeCells count="6">
    <mergeCell ref="B3:G3"/>
    <mergeCell ref="I3:M3"/>
    <mergeCell ref="B5:B7"/>
    <mergeCell ref="B8:B11"/>
    <mergeCell ref="B14:B17"/>
    <mergeCell ref="B24:B2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37.63"/>
    <col customWidth="1" min="9" max="10" width="37.63"/>
  </cols>
  <sheetData>
    <row r="3" ht="18.75" customHeight="1">
      <c r="A3" s="33"/>
      <c r="B3" s="1" t="s">
        <v>37</v>
      </c>
      <c r="C3" s="2"/>
      <c r="D3" s="2"/>
      <c r="E3" s="2"/>
      <c r="F3" s="2"/>
      <c r="G3" s="3"/>
      <c r="H3" s="34"/>
      <c r="I3" s="35" t="s">
        <v>38</v>
      </c>
      <c r="J3" s="2"/>
      <c r="K3" s="2"/>
      <c r="L3" s="2"/>
      <c r="M3" s="2"/>
      <c r="N3" s="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ht="17.25" customHeight="1">
      <c r="A4" s="33"/>
      <c r="B4" s="5"/>
      <c r="C4" s="5" t="s">
        <v>39</v>
      </c>
      <c r="D4" s="6" t="s">
        <v>3</v>
      </c>
      <c r="E4" s="6" t="s">
        <v>4</v>
      </c>
      <c r="F4" s="6" t="s">
        <v>5</v>
      </c>
      <c r="G4" s="6" t="s">
        <v>6</v>
      </c>
      <c r="H4" s="34"/>
      <c r="I4" s="5"/>
      <c r="J4" s="5" t="s">
        <v>39</v>
      </c>
      <c r="K4" s="6" t="s">
        <v>3</v>
      </c>
      <c r="L4" s="6" t="s">
        <v>4</v>
      </c>
      <c r="M4" s="6" t="s">
        <v>5</v>
      </c>
      <c r="N4" s="6" t="s">
        <v>6</v>
      </c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ht="17.25" customHeight="1">
      <c r="B5" s="36"/>
      <c r="C5" s="36"/>
      <c r="D5" s="37"/>
      <c r="E5" s="37"/>
      <c r="F5" s="37"/>
      <c r="G5" s="37"/>
      <c r="H5" s="38"/>
      <c r="I5" s="36"/>
      <c r="J5" s="36"/>
      <c r="K5" s="37"/>
      <c r="L5" s="37"/>
      <c r="M5" s="37"/>
      <c r="N5" s="37"/>
    </row>
    <row r="6">
      <c r="B6" s="39" t="s">
        <v>40</v>
      </c>
      <c r="C6" s="2"/>
      <c r="D6" s="2"/>
      <c r="E6" s="2"/>
      <c r="F6" s="2"/>
      <c r="G6" s="3"/>
      <c r="H6" s="38"/>
      <c r="I6" s="39" t="s">
        <v>40</v>
      </c>
      <c r="J6" s="2"/>
      <c r="K6" s="2"/>
      <c r="L6" s="2"/>
      <c r="M6" s="2"/>
      <c r="N6" s="3"/>
    </row>
    <row r="7">
      <c r="B7" s="40"/>
      <c r="C7" s="9"/>
      <c r="D7" s="10"/>
      <c r="E7" s="10"/>
      <c r="F7" s="10"/>
      <c r="G7" s="10"/>
      <c r="H7" s="38"/>
      <c r="I7" s="40"/>
      <c r="J7" s="9"/>
      <c r="K7" s="41"/>
      <c r="L7" s="41"/>
      <c r="M7" s="41"/>
      <c r="N7" s="41"/>
    </row>
    <row r="8">
      <c r="B8" s="8" t="s">
        <v>41</v>
      </c>
      <c r="C8" s="9" t="s">
        <v>42</v>
      </c>
      <c r="D8" s="42">
        <v>2268.7</v>
      </c>
      <c r="E8" s="42">
        <v>1950.26</v>
      </c>
      <c r="F8" s="42">
        <v>1999.65</v>
      </c>
      <c r="G8" s="42">
        <v>1910.78</v>
      </c>
      <c r="H8" s="38"/>
      <c r="I8" s="8" t="s">
        <v>41</v>
      </c>
      <c r="J8" s="9" t="s">
        <v>42</v>
      </c>
      <c r="K8" s="14">
        <f>'Eicher Motors BS'!D8/'Eicher Motors BS'!D22</f>
        <v>0.0834866332</v>
      </c>
      <c r="L8" s="14">
        <f>'Eicher Motors BS'!E8/'Eicher Motors BS'!E22</f>
        <v>0.08432488338</v>
      </c>
      <c r="M8" s="14">
        <f>'Eicher Motors BS'!F8/'Eicher Motors BS'!F22</f>
        <v>0.1041612407</v>
      </c>
      <c r="N8" s="14">
        <f>'Eicher Motors BS'!G8/'Eicher Motors BS'!G22</f>
        <v>0.1183891032</v>
      </c>
    </row>
    <row r="9">
      <c r="B9" s="13"/>
      <c r="C9" s="9" t="s">
        <v>43</v>
      </c>
      <c r="D9" s="42">
        <v>887.73</v>
      </c>
      <c r="E9" s="42">
        <v>692.13</v>
      </c>
      <c r="F9" s="42">
        <v>464.21</v>
      </c>
      <c r="G9" s="42">
        <v>329.84</v>
      </c>
      <c r="H9" s="38"/>
      <c r="I9" s="13"/>
      <c r="J9" s="9" t="s">
        <v>43</v>
      </c>
      <c r="K9" s="14">
        <f>'Eicher Motors BS'!D9/'Eicher Motors BS'!D22</f>
        <v>0.03266786657</v>
      </c>
      <c r="L9" s="14">
        <f>'Eicher Motors BS'!E9/'Eicher Motors BS'!E22</f>
        <v>0.02992615422</v>
      </c>
      <c r="M9" s="14">
        <f>'Eicher Motors BS'!F9/'Eicher Motors BS'!F22</f>
        <v>0.02418057636</v>
      </c>
      <c r="N9" s="14">
        <f>'Eicher Motors BS'!G9/'Eicher Motors BS'!G22</f>
        <v>0.02043639865</v>
      </c>
    </row>
    <row r="10">
      <c r="B10" s="13"/>
      <c r="C10" s="9" t="s">
        <v>44</v>
      </c>
      <c r="D10" s="42">
        <v>381.17</v>
      </c>
      <c r="E10" s="42">
        <v>343.45</v>
      </c>
      <c r="F10" s="42">
        <v>394.32</v>
      </c>
      <c r="G10" s="42">
        <v>370.8</v>
      </c>
      <c r="H10" s="38"/>
      <c r="I10" s="13"/>
      <c r="J10" s="9" t="s">
        <v>44</v>
      </c>
      <c r="K10" s="14">
        <f>'Eicher Motors BS'!D10/'Eicher Motors BS'!D22</f>
        <v>0.01402679948</v>
      </c>
      <c r="L10" s="14">
        <f>'Eicher Motors BS'!E10/'Eicher Motors BS'!E22</f>
        <v>0.01485001036</v>
      </c>
      <c r="M10" s="14">
        <f>'Eicher Motors BS'!F10/'Eicher Motors BS'!F22</f>
        <v>0.02054002471</v>
      </c>
      <c r="N10" s="14">
        <f>'Eicher Motors BS'!G10/'Eicher Motors BS'!G22</f>
        <v>0.02297421968</v>
      </c>
    </row>
    <row r="11">
      <c r="B11" s="13"/>
      <c r="C11" s="16" t="s">
        <v>45</v>
      </c>
      <c r="D11" s="31">
        <v>16682.65</v>
      </c>
      <c r="E11" s="31">
        <v>15990.76</v>
      </c>
      <c r="F11" s="31">
        <v>12656.23</v>
      </c>
      <c r="G11" s="31">
        <v>7909.07</v>
      </c>
      <c r="H11" s="38"/>
      <c r="I11" s="13"/>
      <c r="J11" s="16" t="s">
        <v>45</v>
      </c>
      <c r="K11" s="43">
        <f>'Eicher Motors BS'!D11/'Eicher Motors BS'!D22</f>
        <v>0.6139102928</v>
      </c>
      <c r="L11" s="43">
        <f>'Eicher Motors BS'!E11/'Eicher Motors BS'!E22</f>
        <v>0.6914047215</v>
      </c>
      <c r="M11" s="43">
        <f>'Eicher Motors BS'!F11/'Eicher Motors BS'!F22</f>
        <v>0.6592596798</v>
      </c>
      <c r="N11" s="43">
        <f>'Eicher Motors BS'!G11/'Eicher Motors BS'!G22</f>
        <v>0.4900342816</v>
      </c>
    </row>
    <row r="12">
      <c r="B12" s="15"/>
      <c r="C12" s="23" t="s">
        <v>46</v>
      </c>
      <c r="D12" s="44">
        <f t="shared" ref="D12:G12" si="1">SUM(D8:D11)</f>
        <v>20220.25</v>
      </c>
      <c r="E12" s="44">
        <f t="shared" si="1"/>
        <v>18976.6</v>
      </c>
      <c r="F12" s="44">
        <f t="shared" si="1"/>
        <v>15514.41</v>
      </c>
      <c r="G12" s="44">
        <f t="shared" si="1"/>
        <v>10520.49</v>
      </c>
      <c r="H12" s="38"/>
      <c r="I12" s="15"/>
      <c r="J12" s="23" t="s">
        <v>46</v>
      </c>
      <c r="K12" s="45">
        <f>'Eicher Motors BS'!D12/'Eicher Motors BS'!D22</f>
        <v>0.7440915921</v>
      </c>
      <c r="L12" s="45">
        <f>'Eicher Motors BS'!E12/'Eicher Motors BS'!E22</f>
        <v>0.8205057694</v>
      </c>
      <c r="M12" s="45">
        <f>'Eicher Motors BS'!F12/'Eicher Motors BS'!F22</f>
        <v>0.8081415216</v>
      </c>
      <c r="N12" s="45">
        <f>'Eicher Motors BS'!G12/'Eicher Motors BS'!G22</f>
        <v>0.6518340032</v>
      </c>
    </row>
    <row r="13">
      <c r="B13" s="36"/>
      <c r="C13" s="46"/>
      <c r="D13" s="47"/>
      <c r="E13" s="47"/>
      <c r="F13" s="47"/>
      <c r="G13" s="47"/>
      <c r="H13" s="38"/>
      <c r="I13" s="36"/>
      <c r="J13" s="46"/>
      <c r="K13" s="48"/>
      <c r="L13" s="48"/>
      <c r="M13" s="48"/>
      <c r="N13" s="48"/>
    </row>
    <row r="14">
      <c r="B14" s="8" t="s">
        <v>47</v>
      </c>
      <c r="C14" s="9" t="s">
        <v>48</v>
      </c>
      <c r="D14" s="42">
        <v>1563.75</v>
      </c>
      <c r="E14" s="42">
        <v>1409.64</v>
      </c>
      <c r="F14" s="42">
        <v>1278.44</v>
      </c>
      <c r="G14" s="42">
        <v>1132.4</v>
      </c>
      <c r="H14" s="38"/>
      <c r="I14" s="8" t="s">
        <v>47</v>
      </c>
      <c r="J14" s="9" t="s">
        <v>48</v>
      </c>
      <c r="K14" s="14">
        <f>'Eicher Motors BS'!D14/'Eicher Motors BS'!D22</f>
        <v>0.05754494762</v>
      </c>
      <c r="L14" s="14">
        <f>'Eicher Motors BS'!E14/'Eicher Motors BS'!E22</f>
        <v>0.06094968292</v>
      </c>
      <c r="M14" s="14">
        <f>'Eicher Motors BS'!F14/'Eicher Motors BS'!F22</f>
        <v>0.06659360213</v>
      </c>
      <c r="N14" s="14">
        <f>'Eicher Motors BS'!G14/'Eicher Motors BS'!G22</f>
        <v>0.07016182946</v>
      </c>
    </row>
    <row r="15">
      <c r="B15" s="13"/>
      <c r="C15" s="9" t="s">
        <v>49</v>
      </c>
      <c r="D15" s="42">
        <v>549.64</v>
      </c>
      <c r="E15" s="42">
        <v>373.78</v>
      </c>
      <c r="F15" s="42">
        <v>368.92</v>
      </c>
      <c r="G15" s="42">
        <v>302.04</v>
      </c>
      <c r="H15" s="38"/>
      <c r="I15" s="13"/>
      <c r="J15" s="9" t="s">
        <v>49</v>
      </c>
      <c r="K15" s="14">
        <f>'Eicher Motors BS'!D15/'Eicher Motors BS'!D22</f>
        <v>0.0202263821</v>
      </c>
      <c r="L15" s="14">
        <f>'Eicher Motors BS'!E15/'Eicher Motors BS'!E22</f>
        <v>0.01616141176</v>
      </c>
      <c r="M15" s="14">
        <f>'Eicher Motors BS'!F15/'Eicher Motors BS'!F22</f>
        <v>0.01921694542</v>
      </c>
      <c r="N15" s="14">
        <f>'Eicher Motors BS'!G15/'Eicher Motors BS'!G22</f>
        <v>0.01871395176</v>
      </c>
    </row>
    <row r="16">
      <c r="B16" s="13"/>
      <c r="C16" s="9" t="s">
        <v>50</v>
      </c>
      <c r="D16" s="42">
        <v>218.96</v>
      </c>
      <c r="E16" s="42">
        <v>107.21</v>
      </c>
      <c r="F16" s="42">
        <v>88.81</v>
      </c>
      <c r="G16" s="42">
        <v>50.53</v>
      </c>
      <c r="H16" s="38"/>
      <c r="I16" s="13"/>
      <c r="J16" s="9" t="s">
        <v>50</v>
      </c>
      <c r="K16" s="14">
        <f>'Eicher Motors BS'!D16/'Eicher Motors BS'!D22</f>
        <v>0.008057580643</v>
      </c>
      <c r="L16" s="14">
        <f>'Eicher Motors BS'!E16/'Eicher Motors BS'!E22</f>
        <v>0.004635520775</v>
      </c>
      <c r="M16" s="14">
        <f>'Eicher Motors BS'!F16/'Eicher Motors BS'!F22</f>
        <v>0.004626089457</v>
      </c>
      <c r="N16" s="14">
        <f>'Eicher Motors BS'!G16/'Eicher Motors BS'!G22</f>
        <v>0.003130764079</v>
      </c>
    </row>
    <row r="17">
      <c r="B17" s="13"/>
      <c r="C17" s="16" t="s">
        <v>45</v>
      </c>
      <c r="D17" s="31">
        <v>4621.81</v>
      </c>
      <c r="E17" s="31">
        <v>2260.7</v>
      </c>
      <c r="F17" s="31">
        <v>1947.06</v>
      </c>
      <c r="G17" s="31">
        <v>4134.37</v>
      </c>
      <c r="H17" s="38"/>
      <c r="I17" s="13"/>
      <c r="J17" s="16" t="s">
        <v>45</v>
      </c>
      <c r="K17" s="43">
        <f>'Eicher Motors BS'!D17/'Eicher Motors BS'!D22</f>
        <v>0.1700794976</v>
      </c>
      <c r="L17" s="43">
        <f>'Eicher Motors BS'!E17/'Eicher Motors BS'!E22</f>
        <v>0.09774761511</v>
      </c>
      <c r="M17" s="43">
        <f>'Eicher Motors BS'!F17/'Eicher Motors BS'!F22</f>
        <v>0.1014218414</v>
      </c>
      <c r="N17" s="43">
        <f>'Eicher Motors BS'!G17/'Eicher Motors BS'!G22</f>
        <v>0.2561594515</v>
      </c>
    </row>
    <row r="18">
      <c r="B18" s="15"/>
      <c r="C18" s="23" t="s">
        <v>51</v>
      </c>
      <c r="D18" s="44">
        <f t="shared" ref="D18:G18" si="2">SUM(D14:D17)</f>
        <v>6954.16</v>
      </c>
      <c r="E18" s="44">
        <f t="shared" si="2"/>
        <v>4151.33</v>
      </c>
      <c r="F18" s="44">
        <f t="shared" si="2"/>
        <v>3683.23</v>
      </c>
      <c r="G18" s="44">
        <f t="shared" si="2"/>
        <v>5619.34</v>
      </c>
      <c r="H18" s="38"/>
      <c r="I18" s="15"/>
      <c r="J18" s="23" t="s">
        <v>51</v>
      </c>
      <c r="K18" s="45">
        <f>'Eicher Motors BS'!D18/'Eicher Motors BS'!D22</f>
        <v>0.2559084079</v>
      </c>
      <c r="L18" s="45">
        <f>'Eicher Motors BS'!E18/'Eicher Motors BS'!E22</f>
        <v>0.1794942306</v>
      </c>
      <c r="M18" s="45">
        <f>'Eicher Motors BS'!F18/'Eicher Motors BS'!F22</f>
        <v>0.1918584784</v>
      </c>
      <c r="N18" s="45">
        <f>'Eicher Motors BS'!G18/'Eicher Motors BS'!G22</f>
        <v>0.3481659968</v>
      </c>
    </row>
    <row r="19">
      <c r="B19" s="40"/>
      <c r="C19" s="9"/>
      <c r="D19" s="10"/>
      <c r="E19" s="10"/>
      <c r="F19" s="10"/>
      <c r="G19" s="10"/>
      <c r="H19" s="38"/>
      <c r="I19" s="40"/>
      <c r="J19" s="9"/>
      <c r="K19" s="41"/>
      <c r="L19" s="41"/>
      <c r="M19" s="41"/>
      <c r="N19" s="41"/>
    </row>
    <row r="20">
      <c r="B20" s="49" t="s">
        <v>52</v>
      </c>
      <c r="C20" s="3"/>
      <c r="D20" s="50">
        <f t="shared" ref="D20:G20" si="3">D12+D18</f>
        <v>27174.41</v>
      </c>
      <c r="E20" s="50">
        <f t="shared" si="3"/>
        <v>23127.93</v>
      </c>
      <c r="F20" s="50">
        <f t="shared" si="3"/>
        <v>19197.64</v>
      </c>
      <c r="G20" s="50">
        <f t="shared" si="3"/>
        <v>16139.83</v>
      </c>
      <c r="H20" s="38"/>
      <c r="I20" s="49" t="s">
        <v>52</v>
      </c>
      <c r="J20" s="3"/>
      <c r="K20" s="51">
        <f>'Eicher Motors BS'!D20/'Eicher Motors BS'!D20</f>
        <v>1</v>
      </c>
      <c r="L20" s="51">
        <f>'Eicher Motors BS'!E20/'Eicher Motors BS'!E20</f>
        <v>1</v>
      </c>
      <c r="M20" s="51">
        <f>'Eicher Motors BS'!F20/'Eicher Motors BS'!F20</f>
        <v>1</v>
      </c>
      <c r="N20" s="51">
        <f>'Eicher Motors BS'!G20/'Eicher Motors BS'!G20</f>
        <v>1</v>
      </c>
    </row>
    <row r="21">
      <c r="B21" s="40"/>
      <c r="C21" s="9"/>
      <c r="D21" s="10"/>
      <c r="E21" s="10"/>
      <c r="F21" s="10"/>
      <c r="G21" s="10"/>
      <c r="H21" s="38"/>
      <c r="I21" s="40"/>
      <c r="J21" s="9"/>
      <c r="K21" s="41"/>
      <c r="L21" s="41"/>
      <c r="M21" s="41"/>
      <c r="N21" s="41"/>
    </row>
    <row r="22">
      <c r="B22" s="52" t="s">
        <v>52</v>
      </c>
      <c r="C22" s="52"/>
      <c r="D22" s="53">
        <f t="shared" ref="D22:G22" si="4">D12+D18</f>
        <v>27174.41</v>
      </c>
      <c r="E22" s="53">
        <f t="shared" si="4"/>
        <v>23127.93</v>
      </c>
      <c r="F22" s="53">
        <f t="shared" si="4"/>
        <v>19197.64</v>
      </c>
      <c r="G22" s="53">
        <f t="shared" si="4"/>
        <v>16139.83</v>
      </c>
      <c r="H22" s="38"/>
      <c r="I22" s="52" t="s">
        <v>52</v>
      </c>
      <c r="J22" s="52"/>
      <c r="K22" s="54">
        <f>'Eicher Motors BS'!D22/'Eicher Motors BS'!D22</f>
        <v>1</v>
      </c>
      <c r="L22" s="54">
        <f>'Eicher Motors BS'!E22/'Eicher Motors BS'!E22</f>
        <v>1</v>
      </c>
      <c r="M22" s="54">
        <f>'Eicher Motors BS'!F22/'Eicher Motors BS'!F22</f>
        <v>1</v>
      </c>
      <c r="N22" s="54">
        <f>'Eicher Motors BS'!G22/'Eicher Motors BS'!G22</f>
        <v>1</v>
      </c>
    </row>
    <row r="23">
      <c r="B23" s="40"/>
      <c r="C23" s="9"/>
      <c r="D23" s="10"/>
      <c r="E23" s="10"/>
      <c r="F23" s="10"/>
      <c r="G23" s="10"/>
      <c r="H23" s="38"/>
      <c r="I23" s="40"/>
      <c r="J23" s="9"/>
      <c r="K23" s="41"/>
      <c r="L23" s="41"/>
      <c r="M23" s="41"/>
      <c r="N23" s="41"/>
    </row>
    <row r="24">
      <c r="B24" s="39" t="s">
        <v>53</v>
      </c>
      <c r="C24" s="2"/>
      <c r="D24" s="2"/>
      <c r="E24" s="2"/>
      <c r="F24" s="2"/>
      <c r="G24" s="3"/>
      <c r="H24" s="38"/>
      <c r="I24" s="39" t="s">
        <v>53</v>
      </c>
      <c r="J24" s="2"/>
      <c r="K24" s="2"/>
      <c r="L24" s="2"/>
      <c r="M24" s="2"/>
      <c r="N24" s="3"/>
    </row>
    <row r="25">
      <c r="B25" s="40"/>
      <c r="C25" s="46"/>
      <c r="D25" s="10"/>
      <c r="E25" s="10"/>
      <c r="F25" s="10"/>
      <c r="G25" s="10"/>
      <c r="H25" s="38"/>
      <c r="I25" s="40"/>
      <c r="J25" s="46"/>
      <c r="K25" s="41"/>
      <c r="L25" s="41"/>
      <c r="M25" s="41"/>
      <c r="N25" s="41"/>
    </row>
    <row r="26">
      <c r="B26" s="8" t="s">
        <v>54</v>
      </c>
      <c r="C26" s="9" t="s">
        <v>55</v>
      </c>
      <c r="D26" s="42">
        <v>27.42</v>
      </c>
      <c r="E26" s="42">
        <v>27.38</v>
      </c>
      <c r="F26" s="42">
        <v>27.35</v>
      </c>
      <c r="G26" s="42">
        <v>27.34</v>
      </c>
      <c r="H26" s="38"/>
      <c r="I26" s="8" t="s">
        <v>54</v>
      </c>
      <c r="J26" s="9" t="s">
        <v>55</v>
      </c>
      <c r="K26" s="14">
        <f>'Eicher Motors BS'!D26/'Eicher Motors BS'!D42</f>
        <v>0.001009037547</v>
      </c>
      <c r="L26" s="14">
        <f>'Eicher Motors BS'!E26/'Eicher Motors BS'!E42</f>
        <v>0.001183850003</v>
      </c>
      <c r="M26" s="14">
        <f>'Eicher Motors BS'!F26/'Eicher Motors BS'!F42</f>
        <v>0.00142465428</v>
      </c>
      <c r="N26" s="14">
        <f>'Eicher Motors BS'!G26/'Eicher Motors BS'!G42</f>
        <v>0.001693945971</v>
      </c>
    </row>
    <row r="27">
      <c r="B27" s="13"/>
      <c r="C27" s="16" t="s">
        <v>56</v>
      </c>
      <c r="D27" s="55">
        <v>21269.07</v>
      </c>
      <c r="E27" s="55">
        <v>18018.15</v>
      </c>
      <c r="F27" s="31">
        <v>14962.93</v>
      </c>
      <c r="G27" s="31">
        <v>12580.66</v>
      </c>
      <c r="H27" s="38"/>
      <c r="I27" s="13"/>
      <c r="J27" s="16" t="s">
        <v>56</v>
      </c>
      <c r="K27" s="56">
        <f>'Eicher Motors BS'!D27/'Eicher Motors BS'!D42</f>
        <v>0.7826874622</v>
      </c>
      <c r="L27" s="56">
        <f>'Eicher Motors BS'!E27/'Eicher Motors BS'!E42</f>
        <v>0.7790645337</v>
      </c>
      <c r="M27" s="56">
        <f>'Eicher Motors BS'!F27/'Eicher Motors BS'!F42</f>
        <v>0.7794150739</v>
      </c>
      <c r="N27" s="56">
        <f>'Eicher Motors BS'!G27/'Eicher Motors BS'!G42</f>
        <v>0.7794790899</v>
      </c>
    </row>
    <row r="28">
      <c r="B28" s="15"/>
      <c r="C28" s="23" t="s">
        <v>57</v>
      </c>
      <c r="D28" s="24">
        <f t="shared" ref="D28:G28" si="5">SUM(D26:D27)</f>
        <v>21296.49</v>
      </c>
      <c r="E28" s="24">
        <f t="shared" si="5"/>
        <v>18045.53</v>
      </c>
      <c r="F28" s="24">
        <f t="shared" si="5"/>
        <v>14990.28</v>
      </c>
      <c r="G28" s="24">
        <f t="shared" si="5"/>
        <v>12608</v>
      </c>
      <c r="H28" s="38"/>
      <c r="I28" s="15"/>
      <c r="J28" s="23" t="s">
        <v>57</v>
      </c>
      <c r="K28" s="57">
        <f>'Eicher Motors BS'!D28/'Eicher Motors BS'!D42</f>
        <v>0.7836964998</v>
      </c>
      <c r="L28" s="57">
        <f>'Eicher Motors BS'!E28/'Eicher Motors BS'!E42</f>
        <v>0.7802483837</v>
      </c>
      <c r="M28" s="57">
        <f>'Eicher Motors BS'!F28/'Eicher Motors BS'!F42</f>
        <v>0.7808397282</v>
      </c>
      <c r="N28" s="57">
        <f>'Eicher Motors BS'!G28/'Eicher Motors BS'!G42</f>
        <v>0.7811730359</v>
      </c>
    </row>
    <row r="29">
      <c r="B29" s="46"/>
      <c r="C29" s="9"/>
      <c r="D29" s="47"/>
      <c r="E29" s="47"/>
      <c r="F29" s="47"/>
      <c r="G29" s="47"/>
      <c r="H29" s="38"/>
      <c r="I29" s="46"/>
      <c r="J29" s="9"/>
      <c r="K29" s="48"/>
      <c r="L29" s="48"/>
      <c r="M29" s="48"/>
      <c r="N29" s="48"/>
    </row>
    <row r="30">
      <c r="B30" s="49" t="s">
        <v>57</v>
      </c>
      <c r="C30" s="3"/>
      <c r="D30" s="50">
        <f t="shared" ref="D30:G30" si="6">D26+D27</f>
        <v>21296.49</v>
      </c>
      <c r="E30" s="50">
        <f t="shared" si="6"/>
        <v>18045.53</v>
      </c>
      <c r="F30" s="50">
        <f t="shared" si="6"/>
        <v>14990.28</v>
      </c>
      <c r="G30" s="50">
        <f t="shared" si="6"/>
        <v>12608</v>
      </c>
      <c r="H30" s="38"/>
      <c r="I30" s="49" t="s">
        <v>57</v>
      </c>
      <c r="J30" s="3"/>
      <c r="K30" s="51">
        <f>'Eicher Motors BS'!D30/'Eicher Motors BS'!D42</f>
        <v>0.7836964998</v>
      </c>
      <c r="L30" s="51">
        <f>'Eicher Motors BS'!E30/'Eicher Motors BS'!E42</f>
        <v>0.7802483837</v>
      </c>
      <c r="M30" s="51">
        <f>'Eicher Motors BS'!F30/'Eicher Motors BS'!F42</f>
        <v>0.7808397282</v>
      </c>
      <c r="N30" s="51">
        <f>'Eicher Motors BS'!G30/'Eicher Motors BS'!G42</f>
        <v>0.7811730359</v>
      </c>
    </row>
    <row r="31">
      <c r="B31" s="58"/>
      <c r="C31" s="46"/>
      <c r="D31" s="26"/>
      <c r="E31" s="26"/>
      <c r="F31" s="26"/>
      <c r="G31" s="26"/>
      <c r="H31" s="38"/>
      <c r="I31" s="58"/>
      <c r="J31" s="46"/>
      <c r="K31" s="59"/>
      <c r="L31" s="59"/>
      <c r="M31" s="59"/>
      <c r="N31" s="59"/>
    </row>
    <row r="32">
      <c r="B32" s="60" t="s">
        <v>58</v>
      </c>
      <c r="C32" s="9" t="s">
        <v>59</v>
      </c>
      <c r="D32" s="42">
        <v>194.91</v>
      </c>
      <c r="E32" s="42">
        <v>175.02</v>
      </c>
      <c r="F32" s="42">
        <v>102.46</v>
      </c>
      <c r="G32" s="42">
        <v>67.96</v>
      </c>
      <c r="H32" s="38"/>
      <c r="I32" s="60" t="s">
        <v>58</v>
      </c>
      <c r="J32" s="9" t="s">
        <v>59</v>
      </c>
      <c r="K32" s="14">
        <f>'Eicher Motors BS'!D32/'Eicher Motors BS'!D42</f>
        <v>0.007172556828</v>
      </c>
      <c r="L32" s="14">
        <f>'Eicher Motors BS'!E32/'Eicher Motors BS'!E42</f>
        <v>0.007567473613</v>
      </c>
      <c r="M32" s="14">
        <f>'Eicher Motors BS'!F32/'Eicher Motors BS'!F42</f>
        <v>0.005337114354</v>
      </c>
      <c r="N32" s="14">
        <f>'Eicher Motors BS'!G32/'Eicher Motors BS'!G42</f>
        <v>0.004210701104</v>
      </c>
    </row>
    <row r="33">
      <c r="B33" s="13"/>
      <c r="C33" s="16" t="s">
        <v>60</v>
      </c>
      <c r="D33" s="31">
        <v>1417.23</v>
      </c>
      <c r="E33" s="31">
        <v>1308.97</v>
      </c>
      <c r="F33" s="31">
        <v>870.32</v>
      </c>
      <c r="G33" s="31">
        <v>570.5</v>
      </c>
      <c r="H33" s="38"/>
      <c r="I33" s="13"/>
      <c r="J33" s="16" t="s">
        <v>60</v>
      </c>
      <c r="K33" s="43">
        <f>'Eicher Motors BS'!D33/'Eicher Motors BS'!D42</f>
        <v>0.05215311022</v>
      </c>
      <c r="L33" s="43">
        <f>'Eicher Motors BS'!E33/'Eicher Motors BS'!E42</f>
        <v>0.05659693712</v>
      </c>
      <c r="M33" s="43">
        <f>'Eicher Motors BS'!F33/'Eicher Motors BS'!F42</f>
        <v>0.04533473906</v>
      </c>
      <c r="N33" s="43">
        <f>'Eicher Motors BS'!G33/'Eicher Motors BS'!G42</f>
        <v>0.03534733637</v>
      </c>
    </row>
    <row r="34">
      <c r="B34" s="15"/>
      <c r="C34" s="23" t="s">
        <v>61</v>
      </c>
      <c r="D34" s="24">
        <f t="shared" ref="D34:G34" si="7">D32+D33</f>
        <v>1612.14</v>
      </c>
      <c r="E34" s="24">
        <f t="shared" si="7"/>
        <v>1483.99</v>
      </c>
      <c r="F34" s="24">
        <f t="shared" si="7"/>
        <v>972.78</v>
      </c>
      <c r="G34" s="24">
        <f t="shared" si="7"/>
        <v>638.46</v>
      </c>
      <c r="H34" s="38"/>
      <c r="I34" s="15"/>
      <c r="J34" s="23" t="s">
        <v>61</v>
      </c>
      <c r="K34" s="57">
        <f>'Eicher Motors BS'!D34/'Eicher Motors BS'!D42</f>
        <v>0.05932566705</v>
      </c>
      <c r="L34" s="57">
        <f>'Eicher Motors BS'!E34/'Eicher Motors BS'!E42</f>
        <v>0.06416441074</v>
      </c>
      <c r="M34" s="57">
        <f>'Eicher Motors BS'!F34/'Eicher Motors BS'!F42</f>
        <v>0.05067185342</v>
      </c>
      <c r="N34" s="57">
        <f>'Eicher Motors BS'!G34/'Eicher Motors BS'!G42</f>
        <v>0.03955803748</v>
      </c>
    </row>
    <row r="35">
      <c r="B35" s="58"/>
      <c r="C35" s="46"/>
      <c r="D35" s="26"/>
      <c r="E35" s="26"/>
      <c r="F35" s="26"/>
      <c r="G35" s="26"/>
      <c r="H35" s="38"/>
      <c r="I35" s="58"/>
      <c r="J35" s="46"/>
      <c r="K35" s="59"/>
      <c r="L35" s="59"/>
      <c r="M35" s="59"/>
      <c r="N35" s="59"/>
    </row>
    <row r="36">
      <c r="B36" s="8" t="s">
        <v>62</v>
      </c>
      <c r="C36" s="9" t="s">
        <v>63</v>
      </c>
      <c r="D36" s="10">
        <v>2529.75</v>
      </c>
      <c r="E36" s="10">
        <v>2090.13</v>
      </c>
      <c r="F36" s="10">
        <v>1810.44</v>
      </c>
      <c r="G36" s="10">
        <v>1788.09</v>
      </c>
      <c r="H36" s="38"/>
      <c r="I36" s="8" t="s">
        <v>62</v>
      </c>
      <c r="J36" s="9" t="s">
        <v>63</v>
      </c>
      <c r="K36" s="41">
        <f>'Eicher Motors BS'!D36/'Eicher Motors BS'!D42</f>
        <v>0.09309309751</v>
      </c>
      <c r="L36" s="41">
        <f>'Eicher Motors BS'!E36/'Eicher Motors BS'!E42</f>
        <v>0.09037254955</v>
      </c>
      <c r="M36" s="41">
        <f>'Eicher Motors BS'!F36/'Eicher Motors BS'!F42</f>
        <v>0.0943053417</v>
      </c>
      <c r="N36" s="41">
        <f>'Eicher Motors BS'!G36/'Eicher Motors BS'!G42</f>
        <v>0.1107874123</v>
      </c>
    </row>
    <row r="37">
      <c r="B37" s="13"/>
      <c r="C37" s="16" t="s">
        <v>64</v>
      </c>
      <c r="D37" s="31">
        <v>1736.03</v>
      </c>
      <c r="E37" s="31">
        <v>1508.28</v>
      </c>
      <c r="F37" s="31">
        <v>1424.14</v>
      </c>
      <c r="G37" s="31">
        <v>1105.28</v>
      </c>
      <c r="H37" s="38"/>
      <c r="I37" s="13"/>
      <c r="J37" s="16" t="s">
        <v>64</v>
      </c>
      <c r="K37" s="43">
        <f>'Eicher Motors BS'!D37/'Eicher Motors BS'!D42</f>
        <v>0.06388473568</v>
      </c>
      <c r="L37" s="43">
        <f>'Eicher Motors BS'!E37/'Eicher Motors BS'!E42</f>
        <v>0.06521465605</v>
      </c>
      <c r="M37" s="43">
        <f>'Eicher Motors BS'!F37/'Eicher Motors BS'!F42</f>
        <v>0.07418307667</v>
      </c>
      <c r="N37" s="43">
        <f>'Eicher Motors BS'!G37/'Eicher Motors BS'!G42</f>
        <v>0.06848151437</v>
      </c>
    </row>
    <row r="38">
      <c r="B38" s="15"/>
      <c r="C38" s="23" t="s">
        <v>65</v>
      </c>
      <c r="D38" s="44">
        <f t="shared" ref="D38:G38" si="8">D36+D37</f>
        <v>4265.78</v>
      </c>
      <c r="E38" s="44">
        <f t="shared" si="8"/>
        <v>3598.41</v>
      </c>
      <c r="F38" s="44">
        <f t="shared" si="8"/>
        <v>3234.58</v>
      </c>
      <c r="G38" s="44">
        <f t="shared" si="8"/>
        <v>2893.37</v>
      </c>
      <c r="H38" s="38"/>
      <c r="I38" s="15"/>
      <c r="J38" s="23" t="s">
        <v>65</v>
      </c>
      <c r="K38" s="45">
        <f>'Eicher Motors BS'!D38/'Eicher Motors BS'!D42</f>
        <v>0.1569778332</v>
      </c>
      <c r="L38" s="45">
        <f>'Eicher Motors BS'!E38/'Eicher Motors BS'!E42</f>
        <v>0.1555872056</v>
      </c>
      <c r="M38" s="45">
        <f>'Eicher Motors BS'!F38/'Eicher Motors BS'!F42</f>
        <v>0.1684884184</v>
      </c>
      <c r="N38" s="45">
        <f>'Eicher Motors BS'!G38/'Eicher Motors BS'!G42</f>
        <v>0.1792689266</v>
      </c>
    </row>
    <row r="39">
      <c r="B39" s="46"/>
      <c r="C39" s="61"/>
      <c r="D39" s="47"/>
      <c r="E39" s="47"/>
      <c r="F39" s="47"/>
      <c r="G39" s="47"/>
      <c r="H39" s="38"/>
      <c r="I39" s="46"/>
      <c r="J39" s="61"/>
      <c r="K39" s="48"/>
      <c r="L39" s="48"/>
      <c r="M39" s="48"/>
      <c r="N39" s="48"/>
    </row>
    <row r="40">
      <c r="B40" s="49" t="s">
        <v>66</v>
      </c>
      <c r="C40" s="3"/>
      <c r="D40" s="50">
        <f t="shared" ref="D40:G40" si="9">D34+D38</f>
        <v>5877.92</v>
      </c>
      <c r="E40" s="50">
        <f t="shared" si="9"/>
        <v>5082.4</v>
      </c>
      <c r="F40" s="50">
        <f t="shared" si="9"/>
        <v>4207.36</v>
      </c>
      <c r="G40" s="50">
        <f t="shared" si="9"/>
        <v>3531.83</v>
      </c>
      <c r="H40" s="38"/>
      <c r="I40" s="49" t="s">
        <v>66</v>
      </c>
      <c r="J40" s="3"/>
      <c r="K40" s="51">
        <f>'Eicher Motors BS'!D40/'Eicher Motors BS'!D42</f>
        <v>0.2163035002</v>
      </c>
      <c r="L40" s="51">
        <f>'Eicher Motors BS'!E40/'Eicher Motors BS'!E42</f>
        <v>0.2197516163</v>
      </c>
      <c r="M40" s="51">
        <f>'Eicher Motors BS'!F40/'Eicher Motors BS'!F42</f>
        <v>0.2191602718</v>
      </c>
      <c r="N40" s="51">
        <f>'Eicher Motors BS'!G40/'Eicher Motors BS'!G42</f>
        <v>0.2188269641</v>
      </c>
    </row>
    <row r="41">
      <c r="B41" s="36"/>
      <c r="C41" s="46"/>
      <c r="D41" s="10"/>
      <c r="E41" s="10"/>
      <c r="F41" s="10"/>
      <c r="G41" s="10"/>
      <c r="H41" s="38"/>
      <c r="I41" s="36"/>
      <c r="J41" s="46"/>
      <c r="K41" s="41"/>
      <c r="L41" s="41"/>
      <c r="M41" s="41"/>
      <c r="N41" s="41"/>
    </row>
    <row r="42">
      <c r="B42" s="62" t="s">
        <v>67</v>
      </c>
      <c r="C42" s="62"/>
      <c r="D42" s="53">
        <f t="shared" ref="D42:G42" si="10">D30+D40</f>
        <v>27174.41</v>
      </c>
      <c r="E42" s="53">
        <f t="shared" si="10"/>
        <v>23127.93</v>
      </c>
      <c r="F42" s="53">
        <f t="shared" si="10"/>
        <v>19197.64</v>
      </c>
      <c r="G42" s="53">
        <f t="shared" si="10"/>
        <v>16139.83</v>
      </c>
      <c r="H42" s="63"/>
      <c r="I42" s="62" t="s">
        <v>67</v>
      </c>
      <c r="J42" s="62"/>
      <c r="K42" s="54">
        <f>'Eicher Motors BS'!D42/'Eicher Motors BS'!D42</f>
        <v>1</v>
      </c>
      <c r="L42" s="54">
        <f>'Eicher Motors BS'!E42/'Eicher Motors BS'!E42</f>
        <v>1</v>
      </c>
      <c r="M42" s="54">
        <f>'Eicher Motors BS'!F42/'Eicher Motors BS'!F42</f>
        <v>1</v>
      </c>
      <c r="N42" s="54">
        <f>'Eicher Motors BS'!G42/'Eicher Motors BS'!G42</f>
        <v>1</v>
      </c>
    </row>
    <row r="43">
      <c r="B43" s="64"/>
      <c r="C43" s="65"/>
      <c r="D43" s="66"/>
      <c r="E43" s="66"/>
      <c r="F43" s="66"/>
      <c r="G43" s="66"/>
    </row>
    <row r="44">
      <c r="B44" s="67"/>
      <c r="D44" s="68"/>
      <c r="E44" s="68"/>
      <c r="F44" s="68"/>
      <c r="G44" s="68"/>
    </row>
    <row r="45">
      <c r="B45" s="69"/>
      <c r="D45" s="70"/>
      <c r="E45" s="70"/>
      <c r="F45" s="70"/>
      <c r="G45" s="70"/>
    </row>
    <row r="46">
      <c r="B46" s="69"/>
      <c r="D46" s="70"/>
      <c r="E46" s="70"/>
      <c r="F46" s="70"/>
      <c r="G46" s="70"/>
    </row>
    <row r="47">
      <c r="B47" s="69"/>
      <c r="C47" s="65"/>
      <c r="D47" s="71"/>
      <c r="E47" s="71"/>
      <c r="F47" s="71"/>
      <c r="G47" s="71"/>
    </row>
    <row r="48">
      <c r="B48" s="64"/>
      <c r="C48" s="65"/>
      <c r="D48" s="66"/>
      <c r="E48" s="66"/>
      <c r="F48" s="66"/>
      <c r="G48" s="66"/>
    </row>
  </sheetData>
  <mergeCells count="22">
    <mergeCell ref="B14:B18"/>
    <mergeCell ref="B20:C20"/>
    <mergeCell ref="B26:B28"/>
    <mergeCell ref="B30:C30"/>
    <mergeCell ref="B32:B34"/>
    <mergeCell ref="B36:B38"/>
    <mergeCell ref="B40:C40"/>
    <mergeCell ref="I20:J20"/>
    <mergeCell ref="B24:G24"/>
    <mergeCell ref="I24:N24"/>
    <mergeCell ref="I26:I28"/>
    <mergeCell ref="I30:J30"/>
    <mergeCell ref="I32:I34"/>
    <mergeCell ref="I36:I38"/>
    <mergeCell ref="I40:J40"/>
    <mergeCell ref="B3:G3"/>
    <mergeCell ref="I3:N3"/>
    <mergeCell ref="B6:G6"/>
    <mergeCell ref="I6:N6"/>
    <mergeCell ref="B8:B12"/>
    <mergeCell ref="I8:I12"/>
    <mergeCell ref="I14:I18"/>
  </mergeCells>
  <conditionalFormatting sqref="H1:H1021">
    <cfRule type="colorScale" priority="1">
      <colorScale>
        <cfvo type="min"/>
        <cfvo type="max"/>
        <color rgb="FFFFFFFF"/>
        <color rgb="FF57BB8A"/>
      </colorScale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5"/>
    <col customWidth="1" min="3" max="3" width="62.63"/>
    <col customWidth="1" min="9" max="9" width="62.63"/>
  </cols>
  <sheetData>
    <row r="3" ht="18.75" customHeight="1">
      <c r="A3" s="33"/>
      <c r="B3" s="1" t="s">
        <v>68</v>
      </c>
      <c r="C3" s="2"/>
      <c r="D3" s="2"/>
      <c r="E3" s="2"/>
      <c r="F3" s="2"/>
      <c r="G3" s="3"/>
      <c r="I3" s="1" t="s">
        <v>69</v>
      </c>
      <c r="J3" s="2"/>
      <c r="K3" s="2"/>
      <c r="L3" s="2"/>
      <c r="M3" s="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ht="17.25" customHeight="1">
      <c r="A4" s="33"/>
      <c r="B4" s="72"/>
      <c r="C4" s="5" t="s">
        <v>2</v>
      </c>
      <c r="D4" s="6" t="s">
        <v>3</v>
      </c>
      <c r="E4" s="6" t="s">
        <v>4</v>
      </c>
      <c r="F4" s="6" t="s">
        <v>5</v>
      </c>
      <c r="G4" s="6" t="s">
        <v>6</v>
      </c>
      <c r="I4" s="7" t="s">
        <v>2</v>
      </c>
      <c r="J4" s="6" t="s">
        <v>3</v>
      </c>
      <c r="K4" s="6" t="s">
        <v>4</v>
      </c>
      <c r="L4" s="6" t="s">
        <v>5</v>
      </c>
      <c r="M4" s="6" t="s">
        <v>6</v>
      </c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>
      <c r="B5" s="8" t="s">
        <v>7</v>
      </c>
      <c r="C5" s="9" t="s">
        <v>8</v>
      </c>
      <c r="D5" s="42">
        <v>239899.28</v>
      </c>
      <c r="E5" s="42">
        <v>219593.38</v>
      </c>
      <c r="F5" s="42">
        <v>182159.09</v>
      </c>
      <c r="G5" s="42">
        <v>92416.98</v>
      </c>
      <c r="I5" s="73" t="s">
        <v>9</v>
      </c>
      <c r="J5" s="12">
        <v>240504.62</v>
      </c>
      <c r="K5" s="12">
        <v>220133.92</v>
      </c>
      <c r="L5" s="12">
        <v>182470.61</v>
      </c>
      <c r="M5" s="12">
        <v>93013.34</v>
      </c>
    </row>
    <row r="6">
      <c r="B6" s="13"/>
      <c r="C6" s="9" t="s">
        <v>10</v>
      </c>
      <c r="D6" s="42">
        <v>605.34</v>
      </c>
      <c r="E6" s="42">
        <v>540.54</v>
      </c>
      <c r="F6" s="42">
        <v>311.52</v>
      </c>
      <c r="G6" s="42">
        <v>596.36</v>
      </c>
      <c r="I6" s="9" t="s">
        <v>70</v>
      </c>
      <c r="J6" s="14">
        <f>'SML Isuzu IS'!D8/J5</f>
        <v>0.7178587255</v>
      </c>
      <c r="K6" s="14">
        <f>'SML Isuzu IS'!E8/K5</f>
        <v>0.7971532965</v>
      </c>
      <c r="L6" s="14">
        <f>'SML Isuzu IS'!F8/L5</f>
        <v>0.8175742384</v>
      </c>
      <c r="M6" s="14">
        <f>'SML Isuzu IS'!G8/M5</f>
        <v>0.778356954</v>
      </c>
    </row>
    <row r="7">
      <c r="B7" s="15"/>
      <c r="C7" s="16" t="s">
        <v>9</v>
      </c>
      <c r="D7" s="17">
        <f t="shared" ref="D7:G7" si="1">D5+D6</f>
        <v>240504.62</v>
      </c>
      <c r="E7" s="17">
        <f t="shared" si="1"/>
        <v>220133.92</v>
      </c>
      <c r="F7" s="17">
        <f t="shared" si="1"/>
        <v>182470.61</v>
      </c>
      <c r="G7" s="17">
        <f t="shared" si="1"/>
        <v>93013.34</v>
      </c>
      <c r="I7" s="9" t="s">
        <v>71</v>
      </c>
      <c r="J7" s="14">
        <f>'SML Isuzu IS'!D9/J5</f>
        <v>0.03652699062</v>
      </c>
      <c r="K7" s="14">
        <f>'SML Isuzu IS'!E9/K5</f>
        <v>0.03561845444</v>
      </c>
      <c r="L7" s="14">
        <f>'SML Isuzu IS'!F9/L5</f>
        <v>0.04300944684</v>
      </c>
      <c r="M7" s="14">
        <f>'SML Isuzu IS'!G9/M5</f>
        <v>0.05848204139</v>
      </c>
    </row>
    <row r="8">
      <c r="B8" s="8" t="s">
        <v>13</v>
      </c>
      <c r="C8" s="9" t="s">
        <v>70</v>
      </c>
      <c r="D8" s="42">
        <v>172648.34</v>
      </c>
      <c r="E8" s="42">
        <v>175480.48</v>
      </c>
      <c r="F8" s="42">
        <v>149183.27</v>
      </c>
      <c r="G8" s="42">
        <v>72397.58</v>
      </c>
      <c r="I8" s="18" t="s">
        <v>14</v>
      </c>
      <c r="J8" s="19">
        <f>'SML Isuzu IS'!D11/J5</f>
        <v>0.7576237413</v>
      </c>
      <c r="K8" s="19">
        <f>'SML Isuzu IS'!E11/K5</f>
        <v>0.7710429633</v>
      </c>
      <c r="L8" s="19">
        <f>'SML Isuzu IS'!F11/L5</f>
        <v>0.8007831508</v>
      </c>
      <c r="M8" s="19">
        <f>'SML Isuzu IS'!G11/M5</f>
        <v>0.8143465228</v>
      </c>
    </row>
    <row r="9">
      <c r="B9" s="13"/>
      <c r="C9" s="9" t="s">
        <v>71</v>
      </c>
      <c r="D9" s="42">
        <v>8784.91</v>
      </c>
      <c r="E9" s="42">
        <v>7840.83</v>
      </c>
      <c r="F9" s="42">
        <v>7847.96</v>
      </c>
      <c r="G9" s="42">
        <v>5439.61</v>
      </c>
      <c r="I9" s="20" t="s">
        <v>15</v>
      </c>
      <c r="J9" s="21">
        <f>'SML Isuzu IS'!D12/J5</f>
        <v>0.2423762587</v>
      </c>
      <c r="K9" s="21">
        <f>'SML Isuzu IS'!E12/K5</f>
        <v>0.2289570367</v>
      </c>
      <c r="L9" s="21">
        <f>'SML Isuzu IS'!F12/L5</f>
        <v>0.1992168492</v>
      </c>
      <c r="M9" s="21">
        <f>'SML Isuzu IS'!G12/M5</f>
        <v>0.1856534772</v>
      </c>
    </row>
    <row r="10">
      <c r="B10" s="13"/>
      <c r="C10" s="9" t="s">
        <v>72</v>
      </c>
      <c r="D10" s="42">
        <v>778.76</v>
      </c>
      <c r="E10" s="10">
        <v>-13588.6</v>
      </c>
      <c r="F10" s="10">
        <v>-10911.84</v>
      </c>
      <c r="G10" s="10">
        <v>-2092.1</v>
      </c>
      <c r="I10" s="9" t="s">
        <v>17</v>
      </c>
      <c r="J10" s="14">
        <f>'SML Isuzu IS'!D14/J5</f>
        <v>0.08576151261</v>
      </c>
      <c r="K10" s="14">
        <f>'SML Isuzu IS'!E14/K5</f>
        <v>0.08889638635</v>
      </c>
      <c r="L10" s="14">
        <f>'SML Isuzu IS'!F14/L5</f>
        <v>0.09450941168</v>
      </c>
      <c r="M10" s="14">
        <f>'SML Isuzu IS'!G14/M5</f>
        <v>0.1427546844</v>
      </c>
    </row>
    <row r="11">
      <c r="B11" s="15"/>
      <c r="C11" s="16" t="s">
        <v>14</v>
      </c>
      <c r="D11" s="17">
        <f t="shared" ref="D11:G11" si="2">SUM(D8:D10)</f>
        <v>182212.01</v>
      </c>
      <c r="E11" s="17">
        <f t="shared" si="2"/>
        <v>169732.71</v>
      </c>
      <c r="F11" s="17">
        <f t="shared" si="2"/>
        <v>146119.39</v>
      </c>
      <c r="G11" s="17">
        <f t="shared" si="2"/>
        <v>75745.09</v>
      </c>
      <c r="I11" s="9" t="s">
        <v>18</v>
      </c>
      <c r="J11" s="14">
        <f>'SML Isuzu IS'!D15/J5</f>
        <v>0.02010485287</v>
      </c>
      <c r="K11" s="14">
        <f>'SML Isuzu IS'!E15/K5</f>
        <v>0.02158526955</v>
      </c>
      <c r="L11" s="14">
        <f>'SML Isuzu IS'!F15/L5</f>
        <v>0.02325404623</v>
      </c>
      <c r="M11" s="14">
        <f>'SML Isuzu IS'!G15/M5</f>
        <v>0.04679522314</v>
      </c>
    </row>
    <row r="12">
      <c r="B12" s="22" t="s">
        <v>19</v>
      </c>
      <c r="C12" s="23" t="s">
        <v>15</v>
      </c>
      <c r="D12" s="24">
        <f t="shared" ref="D12:G12" si="3">D7-D11</f>
        <v>58292.61</v>
      </c>
      <c r="E12" s="24">
        <f t="shared" si="3"/>
        <v>50401.21</v>
      </c>
      <c r="F12" s="24">
        <f t="shared" si="3"/>
        <v>36351.22</v>
      </c>
      <c r="G12" s="24">
        <f t="shared" si="3"/>
        <v>17268.25</v>
      </c>
      <c r="I12" s="9" t="s">
        <v>20</v>
      </c>
      <c r="J12" s="14">
        <f>'SML Isuzu IS'!D16/J5</f>
        <v>0.05657138728</v>
      </c>
      <c r="K12" s="14">
        <f>'SML Isuzu IS'!E16/K5</f>
        <v>0.05633143679</v>
      </c>
      <c r="L12" s="14">
        <f>'SML Isuzu IS'!F16/L5</f>
        <v>0.05826077964</v>
      </c>
      <c r="M12" s="14">
        <f>'SML Isuzu IS'!G16/M5</f>
        <v>0.08077196239</v>
      </c>
    </row>
    <row r="13">
      <c r="B13" s="25"/>
      <c r="C13" s="9"/>
      <c r="D13" s="26"/>
      <c r="E13" s="26"/>
      <c r="F13" s="26"/>
      <c r="G13" s="26"/>
      <c r="I13" s="18" t="s">
        <v>21</v>
      </c>
      <c r="J13" s="19">
        <f>'SML Isuzu IS'!D17/J5</f>
        <v>0.1624377528</v>
      </c>
      <c r="K13" s="19">
        <f>'SML Isuzu IS'!E17/K5</f>
        <v>0.1668130927</v>
      </c>
      <c r="L13" s="19">
        <f>'SML Isuzu IS'!F17/L5</f>
        <v>0.1760242375</v>
      </c>
      <c r="M13" s="19">
        <f>'SML Isuzu IS'!G17/M5</f>
        <v>0.27032187</v>
      </c>
    </row>
    <row r="14">
      <c r="B14" s="8" t="s">
        <v>22</v>
      </c>
      <c r="C14" s="9" t="s">
        <v>17</v>
      </c>
      <c r="D14" s="42">
        <v>20626.04</v>
      </c>
      <c r="E14" s="42">
        <v>19569.11</v>
      </c>
      <c r="F14" s="42">
        <v>17245.19</v>
      </c>
      <c r="G14" s="42">
        <v>13278.09</v>
      </c>
      <c r="I14" s="20" t="s">
        <v>23</v>
      </c>
      <c r="J14" s="21">
        <f>'SML Isuzu IS'!D18/J5</f>
        <v>0.07993850596</v>
      </c>
      <c r="K14" s="21">
        <f>'SML Isuzu IS'!E18/K5</f>
        <v>0.06214394401</v>
      </c>
      <c r="L14" s="21">
        <f>'SML Isuzu IS'!F18/L5</f>
        <v>0.02319261168</v>
      </c>
      <c r="M14" s="21">
        <f>'SML Isuzu IS'!G18/M5</f>
        <v>-0.08466839273</v>
      </c>
    </row>
    <row r="15">
      <c r="B15" s="13"/>
      <c r="C15" s="9" t="s">
        <v>18</v>
      </c>
      <c r="D15" s="42">
        <v>4835.31</v>
      </c>
      <c r="E15" s="42">
        <v>4751.65</v>
      </c>
      <c r="F15" s="42">
        <v>4243.18</v>
      </c>
      <c r="G15" s="42">
        <v>4352.58</v>
      </c>
      <c r="I15" s="9" t="s">
        <v>24</v>
      </c>
      <c r="J15" s="14">
        <f>'SML Isuzu IS'!D20/J5</f>
        <v>0.01242346197</v>
      </c>
      <c r="K15" s="14">
        <f>'SML Isuzu IS'!E20/K5</f>
        <v>0.01378665314</v>
      </c>
      <c r="L15" s="14">
        <f>'SML Isuzu IS'!F20/L5</f>
        <v>0.01372500481</v>
      </c>
      <c r="M15" s="14">
        <f>'SML Isuzu IS'!G20/M5</f>
        <v>0.02312937048</v>
      </c>
    </row>
    <row r="16">
      <c r="B16" s="13"/>
      <c r="C16" s="9" t="s">
        <v>20</v>
      </c>
      <c r="D16" s="42">
        <v>13605.68</v>
      </c>
      <c r="E16" s="42">
        <v>12400.46</v>
      </c>
      <c r="F16" s="42">
        <v>10630.88</v>
      </c>
      <c r="G16" s="42">
        <v>7512.87</v>
      </c>
      <c r="I16" s="20" t="s">
        <v>26</v>
      </c>
      <c r="J16" s="21">
        <f>'SML Isuzu IS'!D21/J5</f>
        <v>0.06751504399</v>
      </c>
      <c r="K16" s="21">
        <f>'SML Isuzu IS'!E21/K5</f>
        <v>0.04835729087</v>
      </c>
      <c r="L16" s="21">
        <f>'SML Isuzu IS'!F21/L5</f>
        <v>0.009467606866</v>
      </c>
      <c r="M16" s="21">
        <f>'SML Isuzu IS'!G21/M5</f>
        <v>-0.1077977632</v>
      </c>
    </row>
    <row r="17">
      <c r="B17" s="15"/>
      <c r="C17" s="16" t="s">
        <v>21</v>
      </c>
      <c r="D17" s="17">
        <f t="shared" ref="D17:G17" si="4">SUM(D14:D16)</f>
        <v>39067.03</v>
      </c>
      <c r="E17" s="17">
        <f t="shared" si="4"/>
        <v>36721.22</v>
      </c>
      <c r="F17" s="17">
        <f t="shared" si="4"/>
        <v>32119.25</v>
      </c>
      <c r="G17" s="17">
        <f t="shared" si="4"/>
        <v>25143.54</v>
      </c>
      <c r="I17" s="9" t="s">
        <v>28</v>
      </c>
      <c r="J17" s="27">
        <f>'SML Isuzu IS'!D23/J5</f>
        <v>0.001505667542</v>
      </c>
      <c r="K17" s="74" t="s">
        <v>73</v>
      </c>
      <c r="L17" s="74" t="s">
        <v>73</v>
      </c>
      <c r="M17" s="74" t="s">
        <v>73</v>
      </c>
    </row>
    <row r="18">
      <c r="B18" s="22" t="s">
        <v>27</v>
      </c>
      <c r="C18" s="23" t="s">
        <v>23</v>
      </c>
      <c r="D18" s="24">
        <f t="shared" ref="D18:G18" si="5">D12-D17</f>
        <v>19225.58</v>
      </c>
      <c r="E18" s="24">
        <f t="shared" si="5"/>
        <v>13679.99</v>
      </c>
      <c r="F18" s="24">
        <f t="shared" si="5"/>
        <v>4231.97</v>
      </c>
      <c r="G18" s="24">
        <f t="shared" si="5"/>
        <v>-7875.29</v>
      </c>
      <c r="I18" s="9" t="s">
        <v>74</v>
      </c>
      <c r="J18" s="27">
        <f>'SML Isuzu IS'!D24/J5</f>
        <v>-0.0001293530245</v>
      </c>
      <c r="K18" s="27">
        <f>'SML Isuzu IS'!E24/K5</f>
        <v>0.00003511498819</v>
      </c>
      <c r="L18" s="27">
        <f>'SML Isuzu IS'!F24/L5</f>
        <v>-0.0001305963738</v>
      </c>
      <c r="M18" s="27">
        <f>'SML Isuzu IS'!G24/M5</f>
        <v>-0.0005437929656</v>
      </c>
    </row>
    <row r="19">
      <c r="B19" s="28"/>
      <c r="C19" s="9"/>
      <c r="D19" s="26"/>
      <c r="E19" s="26"/>
      <c r="F19" s="26"/>
      <c r="G19" s="26"/>
      <c r="I19" s="9" t="s">
        <v>29</v>
      </c>
      <c r="J19" s="27">
        <f>'SML Isuzu IS'!D25/J5</f>
        <v>0.01554743522</v>
      </c>
      <c r="K19" s="27">
        <f>'SML Isuzu IS'!E25/K5</f>
        <v>-0.0006834476032</v>
      </c>
      <c r="L19" s="27">
        <f>'SML Isuzu IS'!F25/L5</f>
        <v>-0.001272150074</v>
      </c>
      <c r="M19" s="74" t="s">
        <v>73</v>
      </c>
    </row>
    <row r="20">
      <c r="B20" s="29" t="s">
        <v>30</v>
      </c>
      <c r="C20" s="9" t="s">
        <v>24</v>
      </c>
      <c r="D20" s="42">
        <v>2987.9</v>
      </c>
      <c r="E20" s="42">
        <v>3034.91</v>
      </c>
      <c r="F20" s="42">
        <v>2504.41</v>
      </c>
      <c r="G20" s="42">
        <v>2151.34</v>
      </c>
      <c r="I20" s="18" t="s">
        <v>31</v>
      </c>
      <c r="J20" s="30">
        <f>'SML Isuzu IS'!D26/J5</f>
        <v>0.01692374974</v>
      </c>
      <c r="K20" s="30">
        <f>'SML Isuzu IS'!E26/K5</f>
        <v>-0.000648332615</v>
      </c>
      <c r="L20" s="30">
        <f>'SML Isuzu IS'!F26/L5</f>
        <v>-0.001402746448</v>
      </c>
      <c r="M20" s="30">
        <f>'SML Isuzu IS'!G26/M5</f>
        <v>-0.0005437929656</v>
      </c>
    </row>
    <row r="21">
      <c r="B21" s="22" t="s">
        <v>75</v>
      </c>
      <c r="C21" s="23" t="s">
        <v>26</v>
      </c>
      <c r="D21" s="24">
        <f t="shared" ref="D21:G21" si="6">D18-D20</f>
        <v>16237.68</v>
      </c>
      <c r="E21" s="24">
        <f t="shared" si="6"/>
        <v>10645.08</v>
      </c>
      <c r="F21" s="24">
        <f t="shared" si="6"/>
        <v>1727.56</v>
      </c>
      <c r="G21" s="24">
        <f t="shared" si="6"/>
        <v>-10026.63</v>
      </c>
      <c r="I21" s="20" t="s">
        <v>33</v>
      </c>
      <c r="J21" s="21">
        <f>'SML Isuzu IS'!D27/J5</f>
        <v>0.05059129425</v>
      </c>
      <c r="K21" s="21">
        <f>'SML Isuzu IS'!E27/K5</f>
        <v>0.04900562349</v>
      </c>
      <c r="L21" s="21">
        <f>'SML Isuzu IS'!F27/L5</f>
        <v>0.01087035331</v>
      </c>
      <c r="M21" s="21">
        <f>'SML Isuzu IS'!G27/M5</f>
        <v>-0.1072539702</v>
      </c>
    </row>
    <row r="22">
      <c r="B22" s="28"/>
      <c r="C22" s="9"/>
      <c r="D22" s="26"/>
      <c r="E22" s="26"/>
      <c r="F22" s="26"/>
      <c r="G22" s="26"/>
    </row>
    <row r="23">
      <c r="B23" s="8" t="s">
        <v>35</v>
      </c>
      <c r="C23" s="9" t="s">
        <v>28</v>
      </c>
      <c r="D23" s="42">
        <v>362.12</v>
      </c>
      <c r="E23" s="10" t="s">
        <v>76</v>
      </c>
      <c r="F23" s="10" t="s">
        <v>76</v>
      </c>
      <c r="G23" s="10" t="s">
        <v>76</v>
      </c>
    </row>
    <row r="24">
      <c r="B24" s="13"/>
      <c r="C24" s="9" t="s">
        <v>74</v>
      </c>
      <c r="D24" s="10">
        <v>-31.11</v>
      </c>
      <c r="E24" s="42">
        <v>7.73</v>
      </c>
      <c r="F24" s="10">
        <v>-23.83</v>
      </c>
      <c r="G24" s="10">
        <v>-50.58</v>
      </c>
    </row>
    <row r="25">
      <c r="B25" s="13"/>
      <c r="C25" s="9" t="s">
        <v>29</v>
      </c>
      <c r="D25" s="42">
        <v>3739.23</v>
      </c>
      <c r="E25" s="10">
        <v>-150.45</v>
      </c>
      <c r="F25" s="10">
        <v>-232.13</v>
      </c>
      <c r="G25" s="10" t="s">
        <v>76</v>
      </c>
    </row>
    <row r="26">
      <c r="B26" s="15"/>
      <c r="C26" s="16" t="s">
        <v>31</v>
      </c>
      <c r="D26" s="31">
        <f t="shared" ref="D26:G26" si="7">SUM(D23:D25)</f>
        <v>4070.24</v>
      </c>
      <c r="E26" s="31">
        <f t="shared" si="7"/>
        <v>-142.72</v>
      </c>
      <c r="F26" s="31">
        <f t="shared" si="7"/>
        <v>-255.96</v>
      </c>
      <c r="G26" s="31">
        <f t="shared" si="7"/>
        <v>-50.58</v>
      </c>
    </row>
    <row r="27">
      <c r="B27" s="22" t="s">
        <v>36</v>
      </c>
      <c r="C27" s="23" t="s">
        <v>33</v>
      </c>
      <c r="D27" s="24">
        <f t="shared" ref="D27:G27" si="8">D21-D26</f>
        <v>12167.44</v>
      </c>
      <c r="E27" s="24">
        <f t="shared" si="8"/>
        <v>10787.8</v>
      </c>
      <c r="F27" s="24">
        <f t="shared" si="8"/>
        <v>1983.52</v>
      </c>
      <c r="G27" s="24">
        <f t="shared" si="8"/>
        <v>-9976.05</v>
      </c>
    </row>
  </sheetData>
  <mergeCells count="6">
    <mergeCell ref="B3:G3"/>
    <mergeCell ref="I3:M3"/>
    <mergeCell ref="B5:B7"/>
    <mergeCell ref="B8:B11"/>
    <mergeCell ref="B14:B17"/>
    <mergeCell ref="B23:B2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37.63"/>
    <col customWidth="1" min="9" max="10" width="37.63"/>
  </cols>
  <sheetData>
    <row r="3" ht="18.75" customHeight="1">
      <c r="A3" s="33"/>
      <c r="B3" s="1" t="s">
        <v>77</v>
      </c>
      <c r="C3" s="2"/>
      <c r="D3" s="2"/>
      <c r="E3" s="2"/>
      <c r="F3" s="2"/>
      <c r="G3" s="3"/>
      <c r="H3" s="34"/>
      <c r="I3" s="1" t="s">
        <v>78</v>
      </c>
      <c r="J3" s="2"/>
      <c r="K3" s="2"/>
      <c r="L3" s="2"/>
      <c r="M3" s="2"/>
      <c r="N3" s="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ht="17.25" customHeight="1">
      <c r="A4" s="33"/>
      <c r="B4" s="5"/>
      <c r="C4" s="5" t="s">
        <v>39</v>
      </c>
      <c r="D4" s="6" t="s">
        <v>3</v>
      </c>
      <c r="E4" s="6" t="s">
        <v>4</v>
      </c>
      <c r="F4" s="6" t="s">
        <v>5</v>
      </c>
      <c r="G4" s="6" t="s">
        <v>6</v>
      </c>
      <c r="H4" s="38"/>
      <c r="I4" s="5"/>
      <c r="J4" s="5" t="s">
        <v>39</v>
      </c>
      <c r="K4" s="6" t="s">
        <v>3</v>
      </c>
      <c r="L4" s="6" t="s">
        <v>4</v>
      </c>
      <c r="M4" s="6" t="s">
        <v>5</v>
      </c>
      <c r="N4" s="6" t="s">
        <v>6</v>
      </c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>
      <c r="B5" s="36"/>
      <c r="C5" s="36"/>
      <c r="D5" s="37"/>
      <c r="E5" s="37"/>
      <c r="F5" s="37"/>
      <c r="G5" s="37"/>
      <c r="H5" s="38"/>
      <c r="I5" s="36"/>
      <c r="J5" s="36"/>
      <c r="K5" s="37"/>
      <c r="L5" s="37"/>
      <c r="M5" s="37"/>
      <c r="N5" s="37"/>
    </row>
    <row r="6">
      <c r="B6" s="39" t="s">
        <v>40</v>
      </c>
      <c r="C6" s="2"/>
      <c r="D6" s="2"/>
      <c r="E6" s="2"/>
      <c r="F6" s="2"/>
      <c r="G6" s="3"/>
      <c r="H6" s="38"/>
      <c r="I6" s="39" t="s">
        <v>40</v>
      </c>
      <c r="J6" s="2"/>
      <c r="K6" s="2"/>
      <c r="L6" s="2"/>
      <c r="M6" s="2"/>
      <c r="N6" s="3"/>
    </row>
    <row r="7">
      <c r="B7" s="40"/>
      <c r="C7" s="9"/>
      <c r="D7" s="10"/>
      <c r="E7" s="10"/>
      <c r="F7" s="10"/>
      <c r="G7" s="10"/>
      <c r="H7" s="38"/>
      <c r="I7" s="40"/>
      <c r="J7" s="9"/>
      <c r="K7" s="41"/>
      <c r="L7" s="41"/>
      <c r="M7" s="41"/>
      <c r="N7" s="41"/>
    </row>
    <row r="8">
      <c r="B8" s="8" t="s">
        <v>41</v>
      </c>
      <c r="C8" s="9" t="s">
        <v>42</v>
      </c>
      <c r="D8" s="42">
        <v>26344.63</v>
      </c>
      <c r="E8" s="42">
        <v>26719.4</v>
      </c>
      <c r="F8" s="42">
        <v>27531.1</v>
      </c>
      <c r="G8" s="42">
        <v>29343.34</v>
      </c>
      <c r="H8" s="38"/>
      <c r="I8" s="8" t="s">
        <v>41</v>
      </c>
      <c r="J8" s="9" t="s">
        <v>42</v>
      </c>
      <c r="K8" s="14">
        <f>'SML Isuzu BS'!D8/'SML Isuzu BS'!D22</f>
        <v>0.2027425773</v>
      </c>
      <c r="L8" s="14">
        <f>'SML Isuzu BS'!E8/'SML Isuzu BS'!E22</f>
        <v>0.2203623508</v>
      </c>
      <c r="M8" s="14">
        <f>'SML Isuzu BS'!F8/'SML Isuzu BS'!F22</f>
        <v>0.2939585863</v>
      </c>
      <c r="N8" s="14">
        <f>'SML Isuzu BS'!G8/'SML Isuzu BS'!G22</f>
        <v>0.3596768033</v>
      </c>
    </row>
    <row r="9">
      <c r="B9" s="13"/>
      <c r="C9" s="9" t="s">
        <v>43</v>
      </c>
      <c r="D9" s="42">
        <v>5302.73</v>
      </c>
      <c r="E9" s="42">
        <v>6830.17</v>
      </c>
      <c r="F9" s="42">
        <v>7465.35</v>
      </c>
      <c r="G9" s="42">
        <v>4944.74</v>
      </c>
      <c r="H9" s="38"/>
      <c r="I9" s="13"/>
      <c r="J9" s="9" t="s">
        <v>43</v>
      </c>
      <c r="K9" s="14">
        <f>'SML Isuzu BS'!D9/'SML Isuzu BS'!D22</f>
        <v>0.04080866373</v>
      </c>
      <c r="L9" s="14">
        <f>'SML Isuzu BS'!E9/'SML Isuzu BS'!E22</f>
        <v>0.05633031871</v>
      </c>
      <c r="M9" s="14">
        <f>'SML Isuzu BS'!F9/'SML Isuzu BS'!F22</f>
        <v>0.07970999096</v>
      </c>
      <c r="N9" s="14">
        <f>'SML Isuzu BS'!G9/'SML Isuzu BS'!G22</f>
        <v>0.0606102876</v>
      </c>
    </row>
    <row r="10">
      <c r="B10" s="13"/>
      <c r="C10" s="9" t="s">
        <v>44</v>
      </c>
      <c r="D10" s="42">
        <v>1720.24</v>
      </c>
      <c r="E10" s="42">
        <v>800.79</v>
      </c>
      <c r="F10" s="42">
        <v>1024.5</v>
      </c>
      <c r="G10" s="42">
        <v>1165.82</v>
      </c>
      <c r="H10" s="38"/>
      <c r="I10" s="13"/>
      <c r="J10" s="9" t="s">
        <v>44</v>
      </c>
      <c r="K10" s="14">
        <f>'SML Isuzu BS'!D10/'SML Isuzu BS'!D22</f>
        <v>0.01323859516</v>
      </c>
      <c r="L10" s="14">
        <f>'SML Isuzu BS'!E10/'SML Isuzu BS'!E22</f>
        <v>0.006604338679</v>
      </c>
      <c r="M10" s="14">
        <f>'SML Isuzu BS'!F10/'SML Isuzu BS'!F22</f>
        <v>0.01093892259</v>
      </c>
      <c r="N10" s="14">
        <f>'SML Isuzu BS'!G10/'SML Isuzu BS'!G22</f>
        <v>0.01429007096</v>
      </c>
    </row>
    <row r="11">
      <c r="B11" s="13"/>
      <c r="C11" s="16" t="s">
        <v>45</v>
      </c>
      <c r="D11" s="31">
        <v>6244.37</v>
      </c>
      <c r="E11" s="31">
        <v>4441.0</v>
      </c>
      <c r="F11" s="31">
        <v>3819.02</v>
      </c>
      <c r="G11" s="31">
        <v>4079.99</v>
      </c>
      <c r="H11" s="38"/>
      <c r="I11" s="13"/>
      <c r="J11" s="16" t="s">
        <v>45</v>
      </c>
      <c r="K11" s="43">
        <f>'SML Isuzu BS'!D11/'SML Isuzu BS'!D22</f>
        <v>0.0480553216</v>
      </c>
      <c r="L11" s="43">
        <f>'SML Isuzu BS'!E11/'SML Isuzu BS'!E22</f>
        <v>0.03662616675</v>
      </c>
      <c r="M11" s="43">
        <f>'SML Isuzu BS'!F11/'SML Isuzu BS'!F22</f>
        <v>0.04077692937</v>
      </c>
      <c r="N11" s="43">
        <f>'SML Isuzu BS'!G11/'SML Isuzu BS'!G22</f>
        <v>0.0500105905</v>
      </c>
    </row>
    <row r="12">
      <c r="B12" s="15"/>
      <c r="C12" s="23" t="s">
        <v>46</v>
      </c>
      <c r="D12" s="44">
        <f t="shared" ref="D12:G12" si="1">SUM(D8:D11)</f>
        <v>39611.97</v>
      </c>
      <c r="E12" s="44">
        <f t="shared" si="1"/>
        <v>38791.36</v>
      </c>
      <c r="F12" s="44">
        <f t="shared" si="1"/>
        <v>39839.97</v>
      </c>
      <c r="G12" s="44">
        <f t="shared" si="1"/>
        <v>39533.89</v>
      </c>
      <c r="H12" s="38"/>
      <c r="I12" s="15"/>
      <c r="J12" s="23" t="s">
        <v>46</v>
      </c>
      <c r="K12" s="45">
        <f>'SML Isuzu BS'!D12/'SML Isuzu BS'!D22</f>
        <v>0.3048451578</v>
      </c>
      <c r="L12" s="45">
        <f>'SML Isuzu BS'!E12/'SML Isuzu BS'!E22</f>
        <v>0.3199231749</v>
      </c>
      <c r="M12" s="45">
        <f>'SML Isuzu BS'!F12/'SML Isuzu BS'!F22</f>
        <v>0.4253844292</v>
      </c>
      <c r="N12" s="45">
        <f>'SML Isuzu BS'!G12/'SML Isuzu BS'!G22</f>
        <v>0.4845877524</v>
      </c>
    </row>
    <row r="13">
      <c r="B13" s="36"/>
      <c r="C13" s="46"/>
      <c r="D13" s="47"/>
      <c r="E13" s="47"/>
      <c r="F13" s="47"/>
      <c r="G13" s="47"/>
      <c r="H13" s="38"/>
      <c r="I13" s="36"/>
      <c r="J13" s="46"/>
      <c r="K13" s="48"/>
      <c r="L13" s="48"/>
      <c r="M13" s="48"/>
      <c r="N13" s="48"/>
    </row>
    <row r="14">
      <c r="B14" s="8" t="s">
        <v>47</v>
      </c>
      <c r="C14" s="9" t="s">
        <v>48</v>
      </c>
      <c r="D14" s="42">
        <v>57799.37</v>
      </c>
      <c r="E14" s="42">
        <v>57973.06</v>
      </c>
      <c r="F14" s="42">
        <v>42189.29</v>
      </c>
      <c r="G14" s="42">
        <v>29599.21</v>
      </c>
      <c r="H14" s="38"/>
      <c r="I14" s="8" t="s">
        <v>47</v>
      </c>
      <c r="J14" s="9" t="s">
        <v>48</v>
      </c>
      <c r="K14" s="14">
        <f>'SML Isuzu BS'!D14/'SML Isuzu BS'!D22</f>
        <v>0.4448114564</v>
      </c>
      <c r="L14" s="14">
        <f>'SML Isuzu BS'!E14/'SML Isuzu BS'!E22</f>
        <v>0.4781200096</v>
      </c>
      <c r="M14" s="14">
        <f>'SML Isuzu BS'!F14/'SML Isuzu BS'!F22</f>
        <v>0.4504688895</v>
      </c>
      <c r="N14" s="14">
        <f>'SML Isuzu BS'!G14/'SML Isuzu BS'!G22</f>
        <v>0.3628131369</v>
      </c>
    </row>
    <row r="15">
      <c r="B15" s="13"/>
      <c r="C15" s="9" t="s">
        <v>49</v>
      </c>
      <c r="D15" s="42">
        <v>26525.31</v>
      </c>
      <c r="E15" s="42">
        <v>16897.23</v>
      </c>
      <c r="F15" s="42">
        <v>7574.73</v>
      </c>
      <c r="G15" s="42">
        <v>7891.82</v>
      </c>
      <c r="H15" s="38"/>
      <c r="I15" s="13"/>
      <c r="J15" s="9" t="s">
        <v>49</v>
      </c>
      <c r="K15" s="14">
        <f>'SML Isuzu BS'!D15/'SML Isuzu BS'!D22</f>
        <v>0.2041330515</v>
      </c>
      <c r="L15" s="14">
        <f>'SML Isuzu BS'!E15/'SML Isuzu BS'!E22</f>
        <v>0.1393561729</v>
      </c>
      <c r="M15" s="14">
        <f>'SML Isuzu BS'!F15/'SML Isuzu BS'!F22</f>
        <v>0.0808778771</v>
      </c>
      <c r="N15" s="14">
        <f>'SML Isuzu BS'!G15/'SML Isuzu BS'!G22</f>
        <v>0.09673420238</v>
      </c>
    </row>
    <row r="16">
      <c r="B16" s="13"/>
      <c r="C16" s="9" t="s">
        <v>50</v>
      </c>
      <c r="D16" s="42">
        <v>310.1</v>
      </c>
      <c r="E16" s="42">
        <v>3482.01</v>
      </c>
      <c r="F16" s="42">
        <v>349.16</v>
      </c>
      <c r="G16" s="42">
        <v>1067.33</v>
      </c>
      <c r="H16" s="38"/>
      <c r="I16" s="13"/>
      <c r="J16" s="9" t="s">
        <v>50</v>
      </c>
      <c r="K16" s="14">
        <f>'SML Isuzu BS'!D16/'SML Isuzu BS'!D22</f>
        <v>0.002386462562</v>
      </c>
      <c r="L16" s="14">
        <f>'SML Isuzu BS'!E16/'SML Isuzu BS'!E22</f>
        <v>0.02871710851</v>
      </c>
      <c r="M16" s="14">
        <f>'SML Isuzu BS'!F16/'SML Isuzu BS'!F22</f>
        <v>0.003728095862</v>
      </c>
      <c r="N16" s="14">
        <f>'SML Isuzu BS'!G16/'SML Isuzu BS'!G22</f>
        <v>0.01308282706</v>
      </c>
    </row>
    <row r="17">
      <c r="B17" s="13"/>
      <c r="C17" s="16" t="s">
        <v>45</v>
      </c>
      <c r="D17" s="31">
        <v>5694.53</v>
      </c>
      <c r="E17" s="31">
        <v>4108.45</v>
      </c>
      <c r="F17" s="31">
        <v>3703.24</v>
      </c>
      <c r="G17" s="31">
        <v>3490.27</v>
      </c>
      <c r="H17" s="38"/>
      <c r="I17" s="13"/>
      <c r="J17" s="16" t="s">
        <v>45</v>
      </c>
      <c r="K17" s="43">
        <f>'SML Isuzu BS'!D17/'SML Isuzu BS'!D22</f>
        <v>0.04382387183</v>
      </c>
      <c r="L17" s="43">
        <f>'SML Isuzu BS'!E17/'SML Isuzu BS'!E22</f>
        <v>0.03388353407</v>
      </c>
      <c r="M17" s="43">
        <f>'SML Isuzu BS'!F17/'SML Isuzu BS'!F22</f>
        <v>0.03954070833</v>
      </c>
      <c r="N17" s="43">
        <f>'SML Isuzu BS'!G17/'SML Isuzu BS'!G22</f>
        <v>0.04278208126</v>
      </c>
    </row>
    <row r="18">
      <c r="B18" s="15"/>
      <c r="C18" s="23" t="s">
        <v>51</v>
      </c>
      <c r="D18" s="44">
        <f t="shared" ref="D18:G18" si="2">SUM(D14:D17)</f>
        <v>90329.31</v>
      </c>
      <c r="E18" s="44">
        <f t="shared" si="2"/>
        <v>82460.75</v>
      </c>
      <c r="F18" s="44">
        <f t="shared" si="2"/>
        <v>53816.42</v>
      </c>
      <c r="G18" s="44">
        <f t="shared" si="2"/>
        <v>42048.63</v>
      </c>
      <c r="H18" s="38"/>
      <c r="I18" s="15"/>
      <c r="J18" s="23" t="s">
        <v>51</v>
      </c>
      <c r="K18" s="45">
        <f>'SML Isuzu BS'!D18/'SML Isuzu BS'!D22</f>
        <v>0.6951548422</v>
      </c>
      <c r="L18" s="45">
        <f>'SML Isuzu BS'!E18/'SML Isuzu BS'!E22</f>
        <v>0.6800768251</v>
      </c>
      <c r="M18" s="45">
        <f>'SML Isuzu BS'!F18/'SML Isuzu BS'!F22</f>
        <v>0.5746155708</v>
      </c>
      <c r="N18" s="45">
        <f>'SML Isuzu BS'!G18/'SML Isuzu BS'!G22</f>
        <v>0.5154122476</v>
      </c>
    </row>
    <row r="19">
      <c r="B19" s="40"/>
      <c r="C19" s="9"/>
      <c r="D19" s="10"/>
      <c r="E19" s="10"/>
      <c r="F19" s="10"/>
      <c r="G19" s="10"/>
      <c r="H19" s="38"/>
      <c r="I19" s="40"/>
      <c r="J19" s="9"/>
      <c r="K19" s="41"/>
      <c r="L19" s="41"/>
      <c r="M19" s="41"/>
      <c r="N19" s="41"/>
    </row>
    <row r="20">
      <c r="B20" s="49" t="s">
        <v>52</v>
      </c>
      <c r="C20" s="3"/>
      <c r="D20" s="50">
        <f t="shared" ref="D20:G20" si="3">D12+D18</f>
        <v>129941.28</v>
      </c>
      <c r="E20" s="50">
        <f t="shared" si="3"/>
        <v>121252.11</v>
      </c>
      <c r="F20" s="50">
        <f t="shared" si="3"/>
        <v>93656.39</v>
      </c>
      <c r="G20" s="50">
        <f t="shared" si="3"/>
        <v>81582.52</v>
      </c>
      <c r="H20" s="38"/>
      <c r="I20" s="49" t="s">
        <v>52</v>
      </c>
      <c r="J20" s="3"/>
      <c r="K20" s="51">
        <f>'SML Isuzu BS'!D20/'SML Isuzu BS'!D20</f>
        <v>1</v>
      </c>
      <c r="L20" s="51">
        <f>'SML Isuzu BS'!E20/'SML Isuzu BS'!E20</f>
        <v>1</v>
      </c>
      <c r="M20" s="51">
        <f>'SML Isuzu BS'!F20/'SML Isuzu BS'!F20</f>
        <v>1</v>
      </c>
      <c r="N20" s="51">
        <f>'SML Isuzu BS'!G20/'SML Isuzu BS'!G20</f>
        <v>1</v>
      </c>
    </row>
    <row r="21">
      <c r="B21" s="40"/>
      <c r="C21" s="9"/>
      <c r="D21" s="10"/>
      <c r="E21" s="10"/>
      <c r="F21" s="10"/>
      <c r="G21" s="10"/>
      <c r="H21" s="38"/>
      <c r="I21" s="40"/>
      <c r="J21" s="9"/>
      <c r="K21" s="41"/>
      <c r="L21" s="41"/>
      <c r="M21" s="41"/>
      <c r="N21" s="41"/>
    </row>
    <row r="22">
      <c r="B22" s="52" t="s">
        <v>52</v>
      </c>
      <c r="C22" s="52"/>
      <c r="D22" s="53">
        <f t="shared" ref="D22:G22" si="4">D12+D18</f>
        <v>129941.28</v>
      </c>
      <c r="E22" s="53">
        <f t="shared" si="4"/>
        <v>121252.11</v>
      </c>
      <c r="F22" s="53">
        <f t="shared" si="4"/>
        <v>93656.39</v>
      </c>
      <c r="G22" s="53">
        <f t="shared" si="4"/>
        <v>81582.52</v>
      </c>
      <c r="H22" s="38"/>
      <c r="I22" s="52" t="s">
        <v>52</v>
      </c>
      <c r="J22" s="52"/>
      <c r="K22" s="54">
        <f>'SML Isuzu BS'!D22/'SML Isuzu BS'!D22</f>
        <v>1</v>
      </c>
      <c r="L22" s="54">
        <f>'SML Isuzu BS'!E22/'SML Isuzu BS'!E22</f>
        <v>1</v>
      </c>
      <c r="M22" s="54">
        <f>'SML Isuzu BS'!F22/'SML Isuzu BS'!F22</f>
        <v>1</v>
      </c>
      <c r="N22" s="54">
        <f>'SML Isuzu BS'!G22/'SML Isuzu BS'!G22</f>
        <v>1</v>
      </c>
    </row>
    <row r="23">
      <c r="B23" s="40"/>
      <c r="C23" s="9"/>
      <c r="D23" s="10"/>
      <c r="E23" s="10"/>
      <c r="F23" s="10"/>
      <c r="G23" s="10"/>
      <c r="H23" s="38"/>
      <c r="I23" s="40"/>
      <c r="J23" s="9"/>
      <c r="K23" s="41"/>
      <c r="L23" s="41"/>
      <c r="M23" s="41"/>
      <c r="N23" s="41"/>
    </row>
    <row r="24">
      <c r="B24" s="39" t="s">
        <v>53</v>
      </c>
      <c r="C24" s="2"/>
      <c r="D24" s="2"/>
      <c r="E24" s="2"/>
      <c r="F24" s="2"/>
      <c r="G24" s="3"/>
      <c r="H24" s="38"/>
      <c r="I24" s="39" t="s">
        <v>53</v>
      </c>
      <c r="J24" s="2"/>
      <c r="K24" s="2"/>
      <c r="L24" s="2"/>
      <c r="M24" s="2"/>
      <c r="N24" s="3"/>
    </row>
    <row r="25">
      <c r="B25" s="40"/>
      <c r="C25" s="46"/>
      <c r="D25" s="10"/>
      <c r="E25" s="10"/>
      <c r="F25" s="10"/>
      <c r="G25" s="10"/>
      <c r="H25" s="38"/>
      <c r="I25" s="40"/>
      <c r="J25" s="46"/>
      <c r="K25" s="41"/>
      <c r="L25" s="41"/>
      <c r="M25" s="41"/>
      <c r="N25" s="41"/>
    </row>
    <row r="26">
      <c r="B26" s="8" t="s">
        <v>54</v>
      </c>
      <c r="C26" s="9" t="s">
        <v>55</v>
      </c>
      <c r="D26" s="42">
        <v>1447.88</v>
      </c>
      <c r="E26" s="42">
        <v>1447.88</v>
      </c>
      <c r="F26" s="42">
        <v>1447.88</v>
      </c>
      <c r="G26" s="42">
        <v>1447.88</v>
      </c>
      <c r="H26" s="38"/>
      <c r="I26" s="8" t="s">
        <v>54</v>
      </c>
      <c r="J26" s="9" t="s">
        <v>55</v>
      </c>
      <c r="K26" s="14">
        <f>'SML Isuzu BS'!D26/'SML Isuzu BS'!D42</f>
        <v>0.01114257148</v>
      </c>
      <c r="L26" s="14">
        <f>'SML Isuzu BS'!E26/'SML Isuzu BS'!E42</f>
        <v>0.01194107055</v>
      </c>
      <c r="M26" s="14">
        <f>'SML Isuzu BS'!F26/'SML Isuzu BS'!F42</f>
        <v>0.01545948974</v>
      </c>
      <c r="N26" s="14">
        <f>'SML Isuzu BS'!G26/'SML Isuzu BS'!G42</f>
        <v>0.01774742923</v>
      </c>
    </row>
    <row r="27">
      <c r="B27" s="13"/>
      <c r="C27" s="16" t="s">
        <v>56</v>
      </c>
      <c r="D27" s="75">
        <v>36818.39</v>
      </c>
      <c r="E27" s="75">
        <v>27111.0</v>
      </c>
      <c r="F27" s="75">
        <v>16346.79</v>
      </c>
      <c r="G27" s="75">
        <v>14700.62</v>
      </c>
      <c r="H27" s="38"/>
      <c r="I27" s="13"/>
      <c r="J27" s="16" t="s">
        <v>56</v>
      </c>
      <c r="K27" s="56">
        <f>'SML Isuzu BS'!D27/'SML Isuzu BS'!D42</f>
        <v>0.28334637</v>
      </c>
      <c r="L27" s="56">
        <f>'SML Isuzu BS'!E27/'SML Isuzu BS'!E42</f>
        <v>0.2235919853</v>
      </c>
      <c r="M27" s="56">
        <f>'SML Isuzu BS'!F27/'SML Isuzu BS'!F42</f>
        <v>0.1745400394</v>
      </c>
      <c r="N27" s="56">
        <f>'SML Isuzu BS'!G27/'SML Isuzu BS'!G42</f>
        <v>0.1801932571</v>
      </c>
    </row>
    <row r="28">
      <c r="B28" s="15"/>
      <c r="C28" s="23" t="s">
        <v>57</v>
      </c>
      <c r="D28" s="24">
        <f t="shared" ref="D28:G28" si="5">D26+D27</f>
        <v>38266.27</v>
      </c>
      <c r="E28" s="24">
        <f t="shared" si="5"/>
        <v>28558.88</v>
      </c>
      <c r="F28" s="24">
        <f t="shared" si="5"/>
        <v>17794.67</v>
      </c>
      <c r="G28" s="24">
        <f t="shared" si="5"/>
        <v>16148.5</v>
      </c>
      <c r="H28" s="38"/>
      <c r="I28" s="15"/>
      <c r="J28" s="23" t="s">
        <v>57</v>
      </c>
      <c r="K28" s="57">
        <f>'SML Isuzu BS'!D28/'SML Isuzu BS'!D42</f>
        <v>0.2944889415</v>
      </c>
      <c r="L28" s="57">
        <f>'SML Isuzu BS'!E28/'SML Isuzu BS'!E42</f>
        <v>0.2355330559</v>
      </c>
      <c r="M28" s="57">
        <f>'SML Isuzu BS'!F28/'SML Isuzu BS'!F42</f>
        <v>0.1899995291</v>
      </c>
      <c r="N28" s="57">
        <f>'SML Isuzu BS'!G28/'SML Isuzu BS'!G42</f>
        <v>0.1979406863</v>
      </c>
    </row>
    <row r="29">
      <c r="B29" s="46"/>
      <c r="C29" s="9"/>
      <c r="D29" s="47"/>
      <c r="E29" s="47"/>
      <c r="F29" s="47"/>
      <c r="G29" s="47"/>
      <c r="H29" s="38"/>
      <c r="I29" s="46"/>
      <c r="J29" s="9"/>
      <c r="K29" s="48"/>
      <c r="L29" s="48"/>
      <c r="M29" s="48"/>
      <c r="N29" s="48"/>
    </row>
    <row r="30">
      <c r="B30" s="49" t="s">
        <v>57</v>
      </c>
      <c r="C30" s="3"/>
      <c r="D30" s="50">
        <f t="shared" ref="D30:G30" si="6">D26+D27</f>
        <v>38266.27</v>
      </c>
      <c r="E30" s="50">
        <f t="shared" si="6"/>
        <v>28558.88</v>
      </c>
      <c r="F30" s="50">
        <f t="shared" si="6"/>
        <v>17794.67</v>
      </c>
      <c r="G30" s="50">
        <f t="shared" si="6"/>
        <v>16148.5</v>
      </c>
      <c r="H30" s="38"/>
      <c r="I30" s="49" t="s">
        <v>57</v>
      </c>
      <c r="J30" s="3"/>
      <c r="K30" s="51">
        <f>'SML Isuzu BS'!D30/'SML Isuzu BS'!D42</f>
        <v>0.2944889415</v>
      </c>
      <c r="L30" s="51">
        <f>'SML Isuzu BS'!E30/'SML Isuzu BS'!E42</f>
        <v>0.2355330559</v>
      </c>
      <c r="M30" s="51">
        <f>'SML Isuzu BS'!F30/'SML Isuzu BS'!F42</f>
        <v>0.1899995291</v>
      </c>
      <c r="N30" s="51">
        <f>'SML Isuzu BS'!G30/'SML Isuzu BS'!G42</f>
        <v>0.1979406863</v>
      </c>
    </row>
    <row r="31">
      <c r="B31" s="58"/>
      <c r="C31" s="46"/>
      <c r="D31" s="26"/>
      <c r="E31" s="26"/>
      <c r="F31" s="26"/>
      <c r="G31" s="26"/>
      <c r="H31" s="38"/>
      <c r="I31" s="58"/>
      <c r="J31" s="46"/>
      <c r="K31" s="59"/>
      <c r="L31" s="59"/>
      <c r="M31" s="59"/>
      <c r="N31" s="59"/>
    </row>
    <row r="32">
      <c r="B32" s="60" t="s">
        <v>58</v>
      </c>
      <c r="C32" s="9" t="s">
        <v>59</v>
      </c>
      <c r="D32" s="42">
        <v>4800.74</v>
      </c>
      <c r="E32" s="42">
        <v>5027.71</v>
      </c>
      <c r="F32" s="42">
        <v>4007.25</v>
      </c>
      <c r="G32" s="42">
        <v>3442.49</v>
      </c>
      <c r="H32" s="38"/>
      <c r="I32" s="60" t="s">
        <v>58</v>
      </c>
      <c r="J32" s="9" t="s">
        <v>59</v>
      </c>
      <c r="K32" s="14">
        <f>'SML Isuzu BS'!D32/'SML Isuzu BS'!D42</f>
        <v>0.03694545721</v>
      </c>
      <c r="L32" s="14">
        <f>'SML Isuzu BS'!E32/'SML Isuzu BS'!E42</f>
        <v>0.04146492791</v>
      </c>
      <c r="M32" s="14">
        <f>'SML Isuzu BS'!F32/'SML Isuzu BS'!F42</f>
        <v>0.04278672283</v>
      </c>
      <c r="N32" s="14">
        <f>'SML Isuzu BS'!G32/'SML Isuzu BS'!G42</f>
        <v>0.04219641659</v>
      </c>
    </row>
    <row r="33">
      <c r="B33" s="13"/>
      <c r="C33" s="16" t="s">
        <v>60</v>
      </c>
      <c r="D33" s="31">
        <v>9704.19</v>
      </c>
      <c r="E33" s="31">
        <v>5709.96</v>
      </c>
      <c r="F33" s="31">
        <v>3358.3</v>
      </c>
      <c r="G33" s="31">
        <v>2652.95</v>
      </c>
      <c r="H33" s="38"/>
      <c r="I33" s="13"/>
      <c r="J33" s="16" t="s">
        <v>60</v>
      </c>
      <c r="K33" s="43">
        <f>'SML Isuzu BS'!D33/'SML Isuzu BS'!D42</f>
        <v>0.07468134838</v>
      </c>
      <c r="L33" s="43">
        <f>'SML Isuzu BS'!E33/'SML Isuzu BS'!E42</f>
        <v>0.04709163412</v>
      </c>
      <c r="M33" s="43">
        <f>'SML Isuzu BS'!F33/'SML Isuzu BS'!F42</f>
        <v>0.03585767079</v>
      </c>
      <c r="N33" s="43">
        <f>'SML Isuzu BS'!G33/'SML Isuzu BS'!G42</f>
        <v>0.03251860815</v>
      </c>
    </row>
    <row r="34">
      <c r="B34" s="15"/>
      <c r="C34" s="23" t="s">
        <v>61</v>
      </c>
      <c r="D34" s="24">
        <f t="shared" ref="D34:G34" si="7">D32+D33</f>
        <v>14504.93</v>
      </c>
      <c r="E34" s="24">
        <f t="shared" si="7"/>
        <v>10737.67</v>
      </c>
      <c r="F34" s="24">
        <f t="shared" si="7"/>
        <v>7365.55</v>
      </c>
      <c r="G34" s="24">
        <f t="shared" si="7"/>
        <v>6095.44</v>
      </c>
      <c r="H34" s="38"/>
      <c r="I34" s="15"/>
      <c r="J34" s="23" t="s">
        <v>61</v>
      </c>
      <c r="K34" s="57">
        <f>'SML Isuzu BS'!D34/'SML Isuzu BS'!D42</f>
        <v>0.1116268056</v>
      </c>
      <c r="L34" s="57">
        <f>'SML Isuzu BS'!E34/'SML Isuzu BS'!E42</f>
        <v>0.08855656203</v>
      </c>
      <c r="M34" s="57">
        <f>'SML Isuzu BS'!F34/'SML Isuzu BS'!F42</f>
        <v>0.07864439362</v>
      </c>
      <c r="N34" s="57">
        <f>'SML Isuzu BS'!G34/'SML Isuzu BS'!G42</f>
        <v>0.07471502474</v>
      </c>
    </row>
    <row r="35">
      <c r="B35" s="58"/>
      <c r="C35" s="46"/>
      <c r="D35" s="26"/>
      <c r="E35" s="26"/>
      <c r="F35" s="26"/>
      <c r="G35" s="26"/>
      <c r="H35" s="38"/>
      <c r="I35" s="58"/>
      <c r="J35" s="46"/>
      <c r="K35" s="59"/>
      <c r="L35" s="59"/>
      <c r="M35" s="59"/>
      <c r="N35" s="59"/>
    </row>
    <row r="36">
      <c r="B36" s="8" t="s">
        <v>62</v>
      </c>
      <c r="C36" s="9" t="s">
        <v>63</v>
      </c>
      <c r="D36" s="10">
        <v>37012.7</v>
      </c>
      <c r="E36" s="10">
        <v>33187.75</v>
      </c>
      <c r="F36" s="10">
        <v>29160.52</v>
      </c>
      <c r="G36" s="10">
        <v>24474.8</v>
      </c>
      <c r="H36" s="38"/>
      <c r="I36" s="8" t="s">
        <v>62</v>
      </c>
      <c r="J36" s="9" t="s">
        <v>63</v>
      </c>
      <c r="K36" s="41">
        <f>'SML Isuzu BS'!D36/'SML Isuzu BS'!D42</f>
        <v>0.2848417377</v>
      </c>
      <c r="L36" s="41">
        <f>'SML Isuzu BS'!E36/'SML Isuzu BS'!E42</f>
        <v>0.273708639</v>
      </c>
      <c r="M36" s="41">
        <f>'SML Isuzu BS'!F36/'SML Isuzu BS'!F42</f>
        <v>0.3113564381</v>
      </c>
      <c r="N36" s="41">
        <f>'SML Isuzu BS'!G36/'SML Isuzu BS'!G42</f>
        <v>0.3000005393</v>
      </c>
    </row>
    <row r="37">
      <c r="B37" s="13"/>
      <c r="C37" s="16" t="s">
        <v>64</v>
      </c>
      <c r="D37" s="31">
        <v>40157.38</v>
      </c>
      <c r="E37" s="31">
        <v>48767.81</v>
      </c>
      <c r="F37" s="31">
        <v>39335.65</v>
      </c>
      <c r="G37" s="31">
        <v>34863.78</v>
      </c>
      <c r="H37" s="38"/>
      <c r="I37" s="13"/>
      <c r="J37" s="16" t="s">
        <v>64</v>
      </c>
      <c r="K37" s="43">
        <f>'SML Isuzu BS'!D37/'SML Isuzu BS'!D42</f>
        <v>0.3090425152</v>
      </c>
      <c r="L37" s="43">
        <f>'SML Isuzu BS'!E37/'SML Isuzu BS'!E42</f>
        <v>0.4022017431</v>
      </c>
      <c r="M37" s="43">
        <f>'SML Isuzu BS'!F37/'SML Isuzu BS'!F42</f>
        <v>0.4199996391</v>
      </c>
      <c r="N37" s="43">
        <f>'SML Isuzu BS'!G37/'SML Isuzu BS'!G42</f>
        <v>0.4273437496</v>
      </c>
    </row>
    <row r="38">
      <c r="B38" s="15"/>
      <c r="C38" s="23" t="s">
        <v>65</v>
      </c>
      <c r="D38" s="44">
        <f t="shared" ref="D38:G38" si="8">D36+D37</f>
        <v>77170.08</v>
      </c>
      <c r="E38" s="44">
        <f t="shared" si="8"/>
        <v>81955.56</v>
      </c>
      <c r="F38" s="44">
        <f t="shared" si="8"/>
        <v>68496.17</v>
      </c>
      <c r="G38" s="44">
        <f t="shared" si="8"/>
        <v>59338.58</v>
      </c>
      <c r="H38" s="38"/>
      <c r="I38" s="15"/>
      <c r="J38" s="23" t="s">
        <v>65</v>
      </c>
      <c r="K38" s="45">
        <f>'SML Isuzu BS'!D38/'SML Isuzu BS'!D42</f>
        <v>0.5938842529</v>
      </c>
      <c r="L38" s="45">
        <f>'SML Isuzu BS'!E38/'SML Isuzu BS'!E42</f>
        <v>0.6759103821</v>
      </c>
      <c r="M38" s="45">
        <f>'SML Isuzu BS'!F38/'SML Isuzu BS'!F42</f>
        <v>0.7313560773</v>
      </c>
      <c r="N38" s="45">
        <f>'SML Isuzu BS'!G38/'SML Isuzu BS'!G42</f>
        <v>0.7273442889</v>
      </c>
    </row>
    <row r="39">
      <c r="B39" s="46"/>
      <c r="C39" s="61"/>
      <c r="D39" s="47"/>
      <c r="E39" s="47"/>
      <c r="F39" s="47"/>
      <c r="G39" s="47"/>
      <c r="H39" s="38"/>
      <c r="I39" s="46"/>
      <c r="J39" s="61"/>
      <c r="K39" s="48"/>
      <c r="L39" s="48"/>
      <c r="M39" s="48"/>
      <c r="N39" s="48"/>
    </row>
    <row r="40">
      <c r="B40" s="49" t="s">
        <v>66</v>
      </c>
      <c r="C40" s="3"/>
      <c r="D40" s="50">
        <f t="shared" ref="D40:G40" si="9">D34+D38</f>
        <v>91675.01</v>
      </c>
      <c r="E40" s="50">
        <f t="shared" si="9"/>
        <v>92693.23</v>
      </c>
      <c r="F40" s="50">
        <f t="shared" si="9"/>
        <v>75861.72</v>
      </c>
      <c r="G40" s="50">
        <f t="shared" si="9"/>
        <v>65434.02</v>
      </c>
      <c r="H40" s="38"/>
      <c r="I40" s="49" t="s">
        <v>66</v>
      </c>
      <c r="J40" s="3"/>
      <c r="K40" s="51">
        <f>'SML Isuzu BS'!D40/'SML Isuzu BS'!D42</f>
        <v>0.7055110585</v>
      </c>
      <c r="L40" s="51">
        <f>'SML Isuzu BS'!E40/'SML Isuzu BS'!E42</f>
        <v>0.7644669441</v>
      </c>
      <c r="M40" s="51">
        <f>'SML Isuzu BS'!F40/'SML Isuzu BS'!F42</f>
        <v>0.8100004709</v>
      </c>
      <c r="N40" s="51">
        <f>'SML Isuzu BS'!G40/'SML Isuzu BS'!G42</f>
        <v>0.8020593137</v>
      </c>
    </row>
    <row r="41">
      <c r="B41" s="36"/>
      <c r="C41" s="46"/>
      <c r="D41" s="10"/>
      <c r="E41" s="10"/>
      <c r="F41" s="10"/>
      <c r="G41" s="10"/>
      <c r="H41" s="38"/>
      <c r="I41" s="36"/>
      <c r="J41" s="46"/>
      <c r="K41" s="41"/>
      <c r="L41" s="41"/>
      <c r="M41" s="41"/>
      <c r="N41" s="41"/>
    </row>
    <row r="42">
      <c r="B42" s="62" t="s">
        <v>67</v>
      </c>
      <c r="C42" s="62"/>
      <c r="D42" s="53">
        <f t="shared" ref="D42:G42" si="10">D30+D40</f>
        <v>129941.28</v>
      </c>
      <c r="E42" s="53">
        <f t="shared" si="10"/>
        <v>121252.11</v>
      </c>
      <c r="F42" s="53">
        <f t="shared" si="10"/>
        <v>93656.39</v>
      </c>
      <c r="G42" s="53">
        <f t="shared" si="10"/>
        <v>81582.52</v>
      </c>
      <c r="H42" s="63"/>
      <c r="I42" s="62" t="s">
        <v>67</v>
      </c>
      <c r="J42" s="62"/>
      <c r="K42" s="54">
        <f>'SML Isuzu BS'!D42/'SML Isuzu BS'!D42</f>
        <v>1</v>
      </c>
      <c r="L42" s="54">
        <f>'SML Isuzu BS'!E42/'SML Isuzu BS'!E42</f>
        <v>1</v>
      </c>
      <c r="M42" s="54">
        <f>'SML Isuzu BS'!F42/'SML Isuzu BS'!F42</f>
        <v>1</v>
      </c>
      <c r="N42" s="54">
        <f>'SML Isuzu BS'!G42/'SML Isuzu BS'!G42</f>
        <v>1</v>
      </c>
    </row>
  </sheetData>
  <mergeCells count="22">
    <mergeCell ref="B14:B18"/>
    <mergeCell ref="B20:C20"/>
    <mergeCell ref="B26:B28"/>
    <mergeCell ref="B30:C30"/>
    <mergeCell ref="B32:B34"/>
    <mergeCell ref="B36:B38"/>
    <mergeCell ref="B40:C40"/>
    <mergeCell ref="I20:J20"/>
    <mergeCell ref="B24:G24"/>
    <mergeCell ref="I24:N24"/>
    <mergeCell ref="I26:I28"/>
    <mergeCell ref="I30:J30"/>
    <mergeCell ref="I32:I34"/>
    <mergeCell ref="I36:I38"/>
    <mergeCell ref="I40:J40"/>
    <mergeCell ref="B3:G3"/>
    <mergeCell ref="I3:N3"/>
    <mergeCell ref="B6:G6"/>
    <mergeCell ref="I6:N6"/>
    <mergeCell ref="B8:B12"/>
    <mergeCell ref="I8:I12"/>
    <mergeCell ref="I14:I1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15.75"/>
    <col customWidth="1" min="3" max="6" width="12.63"/>
  </cols>
  <sheetData>
    <row r="1" ht="15.75" customHeight="1">
      <c r="C1" s="76"/>
    </row>
    <row r="2" ht="15.75" customHeight="1">
      <c r="C2" s="76"/>
    </row>
    <row r="3" ht="18.75" customHeight="1">
      <c r="A3" s="77" t="s">
        <v>79</v>
      </c>
      <c r="B3" s="1" t="s">
        <v>80</v>
      </c>
      <c r="C3" s="2"/>
      <c r="D3" s="2"/>
      <c r="E3" s="2"/>
      <c r="F3" s="3"/>
      <c r="S3" s="33"/>
      <c r="T3" s="33"/>
      <c r="U3" s="33"/>
      <c r="V3" s="33"/>
      <c r="W3" s="33"/>
      <c r="X3" s="33"/>
      <c r="Y3" s="33"/>
      <c r="Z3" s="33"/>
      <c r="AA3" s="33"/>
    </row>
    <row r="4" ht="17.25" customHeight="1">
      <c r="A4" s="78"/>
      <c r="B4" s="79" t="s">
        <v>81</v>
      </c>
      <c r="C4" s="80" t="s">
        <v>3</v>
      </c>
      <c r="D4" s="80" t="s">
        <v>4</v>
      </c>
      <c r="E4" s="80" t="s">
        <v>5</v>
      </c>
      <c r="F4" s="81" t="s">
        <v>6</v>
      </c>
      <c r="S4" s="82"/>
      <c r="T4" s="82"/>
      <c r="U4" s="82"/>
      <c r="V4" s="82"/>
      <c r="W4" s="82"/>
      <c r="X4" s="82"/>
      <c r="Y4" s="82"/>
      <c r="Z4" s="82"/>
      <c r="AA4" s="82"/>
    </row>
    <row r="5" ht="15.75" customHeight="1">
      <c r="A5" s="83"/>
      <c r="B5" s="84" t="s">
        <v>82</v>
      </c>
      <c r="C5" s="85">
        <f>'Eicher Motors BS'!D18/'Eicher Motors BS'!D38</f>
        <v>1.63022003</v>
      </c>
      <c r="D5" s="85">
        <f>'Eicher Motors BS'!E18/'Eicher Motors BS'!E38</f>
        <v>1.153656754</v>
      </c>
      <c r="E5" s="85">
        <f>'Eicher Motors BS'!F18/'Eicher Motors BS'!F38</f>
        <v>1.138704252</v>
      </c>
      <c r="F5" s="85">
        <f>'Eicher Motors BS'!G18/'Eicher Motors BS'!G38</f>
        <v>1.94214359</v>
      </c>
      <c r="S5" s="86"/>
      <c r="T5" s="86"/>
      <c r="U5" s="86"/>
      <c r="V5" s="86"/>
      <c r="W5" s="86"/>
      <c r="X5" s="86"/>
      <c r="Y5" s="86"/>
      <c r="Z5" s="86"/>
      <c r="AA5" s="86"/>
    </row>
    <row r="6" ht="15.75" customHeight="1">
      <c r="A6" s="83"/>
      <c r="B6" s="84" t="s">
        <v>83</v>
      </c>
      <c r="C6" s="85">
        <f>'SML Isuzu BS'!D18/'SML Isuzu BS'!D38</f>
        <v>1.170522436</v>
      </c>
      <c r="D6" s="85">
        <f>'SML Isuzu BS'!E18/'SML Isuzu BS'!E38</f>
        <v>1.006164194</v>
      </c>
      <c r="E6" s="85">
        <f>'SML Isuzu BS'!F18/'SML Isuzu BS'!F38</f>
        <v>0.7856850974</v>
      </c>
      <c r="F6" s="85">
        <f>'SML Isuzu BS'!G18/'SML Isuzu BS'!G38</f>
        <v>0.708622114</v>
      </c>
      <c r="S6" s="86"/>
      <c r="T6" s="86"/>
      <c r="U6" s="86"/>
      <c r="V6" s="86"/>
      <c r="W6" s="86"/>
      <c r="X6" s="86"/>
      <c r="Y6" s="86"/>
      <c r="Z6" s="86"/>
      <c r="AA6" s="86"/>
    </row>
    <row r="7" ht="15.75" customHeight="1">
      <c r="A7" s="87"/>
      <c r="B7" s="88" t="s">
        <v>84</v>
      </c>
      <c r="C7" s="89">
        <v>1.0</v>
      </c>
      <c r="D7" s="89">
        <v>1.0</v>
      </c>
      <c r="E7" s="89">
        <v>1.0</v>
      </c>
      <c r="F7" s="89">
        <v>1.0</v>
      </c>
      <c r="S7" s="86"/>
      <c r="T7" s="86"/>
      <c r="U7" s="86"/>
      <c r="V7" s="86"/>
      <c r="W7" s="86"/>
      <c r="X7" s="86"/>
      <c r="Y7" s="86"/>
      <c r="Z7" s="86"/>
      <c r="AA7" s="86"/>
    </row>
    <row r="8" ht="15.75" customHeight="1"/>
    <row r="9" ht="15.75" customHeight="1"/>
    <row r="10" ht="15.75" customHeight="1">
      <c r="A10" s="90"/>
      <c r="B10" s="91" t="s">
        <v>85</v>
      </c>
      <c r="C10" s="2"/>
      <c r="D10" s="2"/>
      <c r="E10" s="2"/>
      <c r="F10" s="3"/>
      <c r="S10" s="33"/>
      <c r="T10" s="33"/>
      <c r="U10" s="33"/>
      <c r="V10" s="33"/>
      <c r="W10" s="33"/>
      <c r="X10" s="33"/>
      <c r="Y10" s="33"/>
      <c r="Z10" s="33"/>
      <c r="AA10" s="33"/>
    </row>
    <row r="11" ht="17.25" customHeight="1">
      <c r="A11" s="92"/>
      <c r="B11" s="93" t="s">
        <v>81</v>
      </c>
      <c r="C11" s="80" t="s">
        <v>3</v>
      </c>
      <c r="D11" s="80" t="s">
        <v>4</v>
      </c>
      <c r="E11" s="80" t="s">
        <v>5</v>
      </c>
      <c r="F11" s="80" t="s">
        <v>6</v>
      </c>
      <c r="S11" s="82"/>
      <c r="T11" s="82"/>
      <c r="U11" s="82"/>
      <c r="V11" s="82"/>
      <c r="W11" s="82"/>
      <c r="X11" s="82"/>
      <c r="Y11" s="82"/>
      <c r="Z11" s="82"/>
      <c r="AA11" s="82"/>
    </row>
    <row r="12" ht="15.75" customHeight="1">
      <c r="A12" s="94"/>
      <c r="B12" s="95" t="s">
        <v>82</v>
      </c>
      <c r="C12" s="96">
        <f>sum('Eicher Motors BS'!D15:D16)/('Eicher Motors BS'!D38)</f>
        <v>0.1801780683</v>
      </c>
      <c r="D12" s="96">
        <f>sum('Eicher Motors BS'!E15:E16)/('Eicher Motors BS'!E38)</f>
        <v>0.1336673698</v>
      </c>
      <c r="E12" s="96">
        <f>sum('Eicher Motors BS'!F15:F16)/('Eicher Motors BS'!F38)</f>
        <v>0.1415114172</v>
      </c>
      <c r="F12" s="96">
        <f>sum('Eicher Motors BS'!G15:G16)/('Eicher Motors BS'!G38)</f>
        <v>0.1218544465</v>
      </c>
      <c r="S12" s="86"/>
      <c r="T12" s="86"/>
      <c r="U12" s="86"/>
      <c r="V12" s="86"/>
      <c r="W12" s="86"/>
      <c r="X12" s="86"/>
      <c r="Y12" s="86"/>
      <c r="Z12" s="86"/>
      <c r="AA12" s="86"/>
    </row>
    <row r="13" ht="15.75" customHeight="1">
      <c r="A13" s="83"/>
      <c r="B13" s="84" t="s">
        <v>83</v>
      </c>
      <c r="C13" s="85">
        <f>sum('SML Isuzu BS'!D15:D16)/'SML Isuzu BS'!D38</f>
        <v>0.347743711</v>
      </c>
      <c r="D13" s="85">
        <f>sum('SML Isuzu BS'!E15:E16)/'SML Isuzu BS'!E38</f>
        <v>0.2486620798</v>
      </c>
      <c r="E13" s="85">
        <f>sum('SML Isuzu BS'!F15:F16)/'SML Isuzu BS'!F38</f>
        <v>0.1156836944</v>
      </c>
      <c r="F13" s="85">
        <f>sum('SML Isuzu BS'!G15:G16)/'SML Isuzu BS'!G38</f>
        <v>0.1509835591</v>
      </c>
      <c r="S13" s="86"/>
      <c r="T13" s="86"/>
      <c r="U13" s="86"/>
      <c r="V13" s="86"/>
      <c r="W13" s="86"/>
      <c r="X13" s="86"/>
      <c r="Y13" s="86"/>
      <c r="Z13" s="86"/>
      <c r="AA13" s="86"/>
    </row>
    <row r="14" ht="15.75" customHeight="1">
      <c r="A14" s="87"/>
      <c r="B14" s="88" t="s">
        <v>84</v>
      </c>
      <c r="C14" s="89">
        <v>1.0</v>
      </c>
      <c r="D14" s="89">
        <v>1.0</v>
      </c>
      <c r="E14" s="89">
        <v>1.0</v>
      </c>
      <c r="F14" s="89">
        <v>1.0</v>
      </c>
      <c r="S14" s="86"/>
      <c r="T14" s="86"/>
      <c r="U14" s="86"/>
      <c r="V14" s="86"/>
      <c r="W14" s="86"/>
      <c r="X14" s="86"/>
      <c r="Y14" s="86"/>
      <c r="Z14" s="86"/>
      <c r="AA14" s="86"/>
    </row>
    <row r="15" ht="15.75" customHeight="1"/>
    <row r="16" ht="15.75" customHeight="1"/>
    <row r="17" ht="15.75" customHeight="1">
      <c r="A17" s="97"/>
      <c r="B17" s="91" t="s">
        <v>86</v>
      </c>
      <c r="C17" s="2"/>
      <c r="D17" s="2"/>
      <c r="E17" s="2"/>
      <c r="F17" s="3"/>
      <c r="S17" s="33"/>
      <c r="T17" s="33"/>
      <c r="U17" s="33"/>
      <c r="V17" s="33"/>
      <c r="W17" s="33"/>
      <c r="X17" s="33"/>
      <c r="Y17" s="33"/>
      <c r="Z17" s="33"/>
      <c r="AA17" s="33"/>
    </row>
    <row r="18" ht="17.25" customHeight="1">
      <c r="A18" s="92"/>
      <c r="B18" s="93" t="s">
        <v>81</v>
      </c>
      <c r="C18" s="80" t="s">
        <v>3</v>
      </c>
      <c r="D18" s="80" t="s">
        <v>4</v>
      </c>
      <c r="E18" s="80" t="s">
        <v>5</v>
      </c>
      <c r="F18" s="80" t="s">
        <v>6</v>
      </c>
      <c r="S18" s="82"/>
      <c r="T18" s="82"/>
      <c r="U18" s="82"/>
      <c r="V18" s="82"/>
      <c r="W18" s="82"/>
      <c r="X18" s="82"/>
      <c r="Y18" s="82"/>
      <c r="Z18" s="82"/>
      <c r="AA18" s="82"/>
    </row>
    <row r="19" ht="15.75" customHeight="1">
      <c r="A19" s="94"/>
      <c r="B19" s="95" t="s">
        <v>82</v>
      </c>
      <c r="C19" s="96">
        <f>'Eicher Motors BS'!D16/'Eicher Motors BS'!D38</f>
        <v>0.05132941689</v>
      </c>
      <c r="D19" s="96">
        <f>'Eicher Motors BS'!E16/'Eicher Motors BS'!E38</f>
        <v>0.02979371445</v>
      </c>
      <c r="E19" s="96">
        <f>'Eicher Motors BS'!F16/'Eicher Motors BS'!F38</f>
        <v>0.02745642402</v>
      </c>
      <c r="F19" s="96">
        <f>'Eicher Motors BS'!G16/'Eicher Motors BS'!G38</f>
        <v>0.0174640644</v>
      </c>
      <c r="S19" s="86"/>
      <c r="T19" s="86"/>
      <c r="U19" s="86"/>
      <c r="V19" s="86"/>
      <c r="W19" s="86"/>
      <c r="X19" s="86"/>
      <c r="Y19" s="86"/>
      <c r="Z19" s="86"/>
      <c r="AA19" s="86"/>
    </row>
    <row r="20" ht="15.75" customHeight="1">
      <c r="A20" s="83"/>
      <c r="B20" s="84" t="s">
        <v>83</v>
      </c>
      <c r="C20" s="85">
        <f>'SML Isuzu BS'!D16/'SML Isuzu BS'!D38</f>
        <v>0.004018396767</v>
      </c>
      <c r="D20" s="85">
        <f>'SML Isuzu BS'!E16/'SML Isuzu BS'!E38</f>
        <v>0.04248656223</v>
      </c>
      <c r="E20" s="85">
        <f>'SML Isuzu BS'!F16/'SML Isuzu BS'!F38</f>
        <v>0.005097511292</v>
      </c>
      <c r="F20" s="85">
        <f>'SML Isuzu BS'!G16/'SML Isuzu BS'!G38</f>
        <v>0.01798711732</v>
      </c>
      <c r="S20" s="86"/>
      <c r="T20" s="86"/>
      <c r="U20" s="86"/>
      <c r="V20" s="86"/>
      <c r="W20" s="86"/>
      <c r="X20" s="86"/>
      <c r="Y20" s="86"/>
      <c r="Z20" s="86"/>
      <c r="AA20" s="86"/>
    </row>
    <row r="21" ht="15.75" customHeight="1">
      <c r="A21" s="87"/>
      <c r="B21" s="88" t="s">
        <v>84</v>
      </c>
      <c r="C21" s="89">
        <v>1.0</v>
      </c>
      <c r="D21" s="89">
        <v>1.0</v>
      </c>
      <c r="E21" s="89">
        <v>1.0</v>
      </c>
      <c r="F21" s="89">
        <v>1.0</v>
      </c>
      <c r="S21" s="86"/>
      <c r="T21" s="86"/>
      <c r="U21" s="86"/>
      <c r="V21" s="86"/>
      <c r="W21" s="86"/>
      <c r="X21" s="86"/>
      <c r="Y21" s="86"/>
      <c r="Z21" s="86"/>
      <c r="AA21" s="86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</sheetData>
  <mergeCells count="3">
    <mergeCell ref="B3:F3"/>
    <mergeCell ref="B10:F10"/>
    <mergeCell ref="B17:F17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25.13"/>
    <col customWidth="1" min="3" max="7" width="12.63"/>
    <col customWidth="1" min="8" max="8" width="15.75"/>
    <col customWidth="1" min="9" max="17" width="12.63"/>
  </cols>
  <sheetData>
    <row r="1">
      <c r="G1" s="33"/>
      <c r="H1" s="33"/>
      <c r="I1" s="33"/>
      <c r="J1" s="33"/>
      <c r="K1" s="33"/>
      <c r="L1" s="33"/>
      <c r="M1" s="33"/>
    </row>
    <row r="2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</row>
    <row r="3" ht="18.75" customHeight="1">
      <c r="A3" s="97"/>
      <c r="B3" s="98" t="s">
        <v>87</v>
      </c>
      <c r="C3" s="2"/>
      <c r="D3" s="2"/>
      <c r="E3" s="2"/>
      <c r="F3" s="3"/>
      <c r="G3" s="33"/>
      <c r="H3" s="1" t="s">
        <v>88</v>
      </c>
      <c r="I3" s="2"/>
      <c r="J3" s="2"/>
      <c r="K3" s="2"/>
      <c r="L3" s="3"/>
      <c r="M3" s="33"/>
    </row>
    <row r="4" ht="17.25" customHeight="1">
      <c r="A4" s="99"/>
      <c r="B4" s="79" t="s">
        <v>82</v>
      </c>
      <c r="C4" s="80" t="s">
        <v>3</v>
      </c>
      <c r="D4" s="80" t="s">
        <v>4</v>
      </c>
      <c r="E4" s="80" t="s">
        <v>5</v>
      </c>
      <c r="F4" s="80" t="s">
        <v>6</v>
      </c>
      <c r="G4" s="82"/>
      <c r="H4" s="100" t="s">
        <v>81</v>
      </c>
      <c r="I4" s="80" t="s">
        <v>3</v>
      </c>
      <c r="J4" s="80" t="s">
        <v>4</v>
      </c>
      <c r="K4" s="80" t="s">
        <v>5</v>
      </c>
      <c r="L4" s="80" t="s">
        <v>6</v>
      </c>
      <c r="M4" s="33"/>
    </row>
    <row r="5">
      <c r="A5" s="101"/>
      <c r="B5" s="102" t="s">
        <v>89</v>
      </c>
      <c r="C5" s="103">
        <f>'Eicher Motors IS'!D7/'Eicher Motors BS'!D15</f>
        <v>36.70629867</v>
      </c>
      <c r="D5" s="103">
        <f>'Eicher Motors IS'!E7/'Eicher Motors BS'!E15</f>
        <v>47.11768955</v>
      </c>
      <c r="E5" s="103">
        <f>'Eicher Motors IS'!F7/'Eicher Motors BS'!F15</f>
        <v>40.76030034</v>
      </c>
      <c r="F5" s="103">
        <f>'Eicher Motors IS'!G7/'Eicher Motors BS'!G15</f>
        <v>35.5537346</v>
      </c>
      <c r="G5" s="82"/>
      <c r="H5" s="104" t="s">
        <v>82</v>
      </c>
      <c r="I5" s="105">
        <v>36.7062986682192</v>
      </c>
      <c r="J5" s="105">
        <v>47.11768955000267</v>
      </c>
      <c r="K5" s="105">
        <v>40.76030033611623</v>
      </c>
      <c r="L5" s="105">
        <v>35.55373460468812</v>
      </c>
      <c r="M5" s="33"/>
    </row>
    <row r="6">
      <c r="A6" s="106"/>
      <c r="B6" s="107" t="s">
        <v>90</v>
      </c>
      <c r="C6" s="103">
        <f t="shared" ref="C6:F6" si="1">365/C5</f>
        <v>9.943797475</v>
      </c>
      <c r="D6" s="103">
        <f t="shared" si="1"/>
        <v>7.746559806</v>
      </c>
      <c r="E6" s="103">
        <f t="shared" si="1"/>
        <v>8.954791721</v>
      </c>
      <c r="F6" s="103">
        <f t="shared" si="1"/>
        <v>10.26615077</v>
      </c>
      <c r="G6" s="82"/>
      <c r="H6" s="104" t="s">
        <v>83</v>
      </c>
      <c r="I6" s="105">
        <v>9.066986210528736</v>
      </c>
      <c r="J6" s="105">
        <v>13.02781106725777</v>
      </c>
      <c r="K6" s="105">
        <v>24.08938800458894</v>
      </c>
      <c r="L6" s="105">
        <v>11.786044283828065</v>
      </c>
      <c r="M6" s="33"/>
    </row>
    <row r="7">
      <c r="A7" s="33"/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33"/>
    </row>
    <row r="8">
      <c r="A8" s="33"/>
      <c r="B8" s="82"/>
      <c r="C8" s="82"/>
      <c r="D8" s="82"/>
      <c r="E8" s="82"/>
      <c r="F8" s="82"/>
      <c r="G8" s="82"/>
      <c r="H8" s="82"/>
      <c r="I8" s="82"/>
      <c r="J8" s="82"/>
      <c r="K8" s="82"/>
      <c r="L8" s="82"/>
      <c r="M8" s="33"/>
    </row>
    <row r="9" ht="18.75" customHeight="1">
      <c r="A9" s="33"/>
      <c r="B9" s="98" t="s">
        <v>91</v>
      </c>
      <c r="C9" s="2"/>
      <c r="D9" s="2"/>
      <c r="E9" s="2"/>
      <c r="F9" s="3"/>
      <c r="G9" s="82"/>
      <c r="H9" s="1" t="s">
        <v>92</v>
      </c>
      <c r="I9" s="2"/>
      <c r="J9" s="2"/>
      <c r="K9" s="2"/>
      <c r="L9" s="3"/>
      <c r="M9" s="33"/>
    </row>
    <row r="10" ht="17.25" customHeight="1">
      <c r="A10" s="99"/>
      <c r="B10" s="79" t="s">
        <v>83</v>
      </c>
      <c r="C10" s="80" t="s">
        <v>3</v>
      </c>
      <c r="D10" s="80" t="s">
        <v>4</v>
      </c>
      <c r="E10" s="80" t="s">
        <v>5</v>
      </c>
      <c r="F10" s="80" t="s">
        <v>6</v>
      </c>
      <c r="G10" s="33"/>
      <c r="H10" s="7" t="s">
        <v>81</v>
      </c>
      <c r="I10" s="80" t="s">
        <v>3</v>
      </c>
      <c r="J10" s="81" t="s">
        <v>4</v>
      </c>
      <c r="K10" s="80" t="s">
        <v>5</v>
      </c>
      <c r="L10" s="80" t="s">
        <v>6</v>
      </c>
      <c r="M10" s="33"/>
    </row>
    <row r="11" ht="15.75" customHeight="1">
      <c r="A11" s="106"/>
      <c r="B11" s="107" t="s">
        <v>89</v>
      </c>
      <c r="C11" s="103">
        <f>'SML Isuzu IS'!D7/'SML Isuzu BS'!D15</f>
        <v>9.066986211</v>
      </c>
      <c r="D11" s="103">
        <f>'SML Isuzu IS'!E7/'SML Isuzu BS'!E15</f>
        <v>13.02781107</v>
      </c>
      <c r="E11" s="103">
        <f>'SML Isuzu IS'!F7/'SML Isuzu BS'!F15</f>
        <v>24.089388</v>
      </c>
      <c r="F11" s="103">
        <f>'SML Isuzu IS'!G7/'SML Isuzu BS'!G15</f>
        <v>11.78604428</v>
      </c>
      <c r="G11" s="33"/>
      <c r="H11" s="108" t="s">
        <v>82</v>
      </c>
      <c r="I11" s="109">
        <v>9.943797474628568</v>
      </c>
      <c r="J11" s="109">
        <v>7.746559805583236</v>
      </c>
      <c r="K11" s="109">
        <v>8.954791721114642</v>
      </c>
      <c r="L11" s="109">
        <v>10.266150773141877</v>
      </c>
      <c r="M11" s="33"/>
    </row>
    <row r="12" ht="15.75" customHeight="1">
      <c r="A12" s="101"/>
      <c r="B12" s="102" t="s">
        <v>90</v>
      </c>
      <c r="C12" s="103">
        <f t="shared" ref="C12:F12" si="2">365/C11</f>
        <v>40.25593417</v>
      </c>
      <c r="D12" s="103">
        <f t="shared" si="2"/>
        <v>28.01698598</v>
      </c>
      <c r="E12" s="103">
        <f t="shared" si="2"/>
        <v>15.15190008</v>
      </c>
      <c r="F12" s="103">
        <f t="shared" si="2"/>
        <v>30.96882985</v>
      </c>
      <c r="G12" s="33"/>
      <c r="H12" s="108" t="s">
        <v>83</v>
      </c>
      <c r="I12" s="109">
        <v>40.25593416874903</v>
      </c>
      <c r="J12" s="109">
        <v>28.01698597835354</v>
      </c>
      <c r="K12" s="109">
        <v>15.15190007859348</v>
      </c>
      <c r="L12" s="109">
        <v>30.968829847417584</v>
      </c>
      <c r="M12" s="33"/>
    </row>
    <row r="13" ht="15.75" customHeight="1">
      <c r="A13" s="33"/>
      <c r="B13" s="82"/>
      <c r="C13" s="82"/>
      <c r="D13" s="82"/>
      <c r="E13" s="82"/>
      <c r="F13" s="82"/>
      <c r="G13" s="33"/>
      <c r="H13" s="33"/>
      <c r="I13" s="33"/>
      <c r="J13" s="33"/>
      <c r="K13" s="33"/>
      <c r="L13" s="33"/>
      <c r="M13" s="33"/>
    </row>
    <row r="14" ht="15.75" customHeight="1">
      <c r="A14" s="110"/>
      <c r="B14" s="110"/>
      <c r="C14" s="110"/>
      <c r="D14" s="110"/>
      <c r="E14" s="110"/>
      <c r="F14" s="110"/>
      <c r="G14" s="33"/>
      <c r="H14" s="33"/>
      <c r="I14" s="33"/>
      <c r="J14" s="33"/>
      <c r="K14" s="33"/>
      <c r="L14" s="33"/>
      <c r="M14" s="33"/>
      <c r="Q14" s="86"/>
    </row>
    <row r="15" ht="18.75" customHeight="1">
      <c r="A15" s="111"/>
      <c r="B15" s="112" t="s">
        <v>93</v>
      </c>
      <c r="C15" s="2"/>
      <c r="D15" s="2"/>
      <c r="E15" s="2"/>
      <c r="F15" s="3"/>
      <c r="G15" s="33"/>
      <c r="M15" s="33"/>
    </row>
    <row r="16" ht="17.25" customHeight="1">
      <c r="A16" s="113"/>
      <c r="B16" s="114" t="s">
        <v>81</v>
      </c>
      <c r="C16" s="115" t="s">
        <v>3</v>
      </c>
      <c r="D16" s="115" t="s">
        <v>4</v>
      </c>
      <c r="E16" s="115" t="s">
        <v>5</v>
      </c>
      <c r="F16" s="115" t="s">
        <v>6</v>
      </c>
    </row>
    <row r="17" ht="15.75" customHeight="1">
      <c r="A17" s="116"/>
      <c r="B17" s="117" t="s">
        <v>82</v>
      </c>
      <c r="C17" s="118">
        <f>'Eicher Motors IS'!D7/'Eicher Motors BS'!D8</f>
        <v>8.892868162</v>
      </c>
      <c r="D17" s="118">
        <f>'Eicher Motors IS'!E7/'Eicher Motors BS'!E8</f>
        <v>9.03041133</v>
      </c>
      <c r="E17" s="118">
        <f>'Eicher Motors IS'!F7/'Eicher Motors BS'!F8</f>
        <v>7.519960993</v>
      </c>
      <c r="F17" s="118">
        <f>'Eicher Motors IS'!G7/'Eicher Motors BS'!G8</f>
        <v>5.62003475</v>
      </c>
    </row>
    <row r="18" ht="15.75" customHeight="1">
      <c r="A18" s="116"/>
      <c r="B18" s="117" t="s">
        <v>83</v>
      </c>
      <c r="C18" s="118">
        <f>'SML Isuzu IS'!D7/'SML Isuzu BS'!D8</f>
        <v>9.129170537</v>
      </c>
      <c r="D18" s="118">
        <f>'SML Isuzu IS'!E7/'SML Isuzu BS'!E8</f>
        <v>8.238729912</v>
      </c>
      <c r="E18" s="118">
        <f>'SML Isuzu IS'!F7/'SML Isuzu BS'!F8</f>
        <v>6.62779947</v>
      </c>
      <c r="F18" s="118">
        <f>'SML Isuzu IS'!G7/'SML Isuzu BS'!G8</f>
        <v>3.169827975</v>
      </c>
    </row>
    <row r="19" ht="15.75" customHeight="1"/>
    <row r="20" ht="15.75" customHeight="1"/>
    <row r="21" ht="18.75" customHeight="1">
      <c r="A21" s="111"/>
      <c r="B21" s="112" t="s">
        <v>94</v>
      </c>
      <c r="C21" s="2"/>
      <c r="D21" s="2"/>
      <c r="E21" s="2"/>
      <c r="F21" s="3"/>
    </row>
    <row r="22" ht="17.25" customHeight="1">
      <c r="A22" s="113"/>
      <c r="B22" s="93" t="s">
        <v>81</v>
      </c>
      <c r="C22" s="80" t="s">
        <v>3</v>
      </c>
      <c r="D22" s="80" t="s">
        <v>4</v>
      </c>
      <c r="E22" s="80" t="s">
        <v>5</v>
      </c>
      <c r="F22" s="80" t="s">
        <v>6</v>
      </c>
    </row>
    <row r="23" ht="15.75" customHeight="1">
      <c r="A23" s="116"/>
      <c r="B23" s="117" t="s">
        <v>82</v>
      </c>
      <c r="C23" s="118">
        <f>'Eicher Motors IS'!D7/'Eicher Motors BS'!D22</f>
        <v>0.7424356223</v>
      </c>
      <c r="D23" s="118">
        <f>'Eicher Motors IS'!E7/'Eicher Motors BS'!E22</f>
        <v>0.7614883822</v>
      </c>
      <c r="E23" s="118">
        <f>'Eicher Motors IS'!F7/'Eicher Motors BS'!F22</f>
        <v>0.7832884667</v>
      </c>
      <c r="F23" s="118">
        <f>'Eicher Motors IS'!G7/'Eicher Motors BS'!G22</f>
        <v>0.6653508742</v>
      </c>
    </row>
    <row r="24" ht="15.75" customHeight="1">
      <c r="A24" s="116"/>
      <c r="B24" s="117" t="s">
        <v>83</v>
      </c>
      <c r="C24" s="118">
        <f>'SML Isuzu IS'!D7/'SML Isuzu BS'!D22</f>
        <v>1.850871563</v>
      </c>
      <c r="D24" s="118">
        <f>'SML Isuzu IS'!E7/'SML Isuzu BS'!E22</f>
        <v>1.815505891</v>
      </c>
      <c r="E24" s="118">
        <f>'SML Isuzu IS'!F7/'SML Isuzu BS'!F22</f>
        <v>1.948298562</v>
      </c>
      <c r="F24" s="118">
        <f>'SML Isuzu IS'!G7/'SML Isuzu BS'!G22</f>
        <v>1.140113593</v>
      </c>
    </row>
    <row r="25" ht="15.75" customHeight="1"/>
    <row r="26" ht="15.75" customHeight="1"/>
    <row r="27" ht="15.75" customHeight="1"/>
    <row r="28" ht="15.75" customHeight="1"/>
    <row r="29" ht="15.75" customHeight="1"/>
  </sheetData>
  <mergeCells count="6">
    <mergeCell ref="B3:F3"/>
    <mergeCell ref="H3:L3"/>
    <mergeCell ref="B9:F9"/>
    <mergeCell ref="H9:L9"/>
    <mergeCell ref="B15:F15"/>
    <mergeCell ref="B21:F2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15.75"/>
    <col customWidth="1" min="3" max="10" width="12.63"/>
  </cols>
  <sheetData>
    <row r="1" ht="15.75" customHeight="1">
      <c r="A1" s="110"/>
      <c r="B1" s="111"/>
      <c r="C1" s="111"/>
      <c r="D1" s="111"/>
      <c r="E1" s="111"/>
      <c r="F1" s="111"/>
    </row>
    <row r="2" ht="15.75" customHeight="1">
      <c r="A2" s="119"/>
      <c r="B2" s="97"/>
      <c r="C2" s="97"/>
      <c r="D2" s="97"/>
      <c r="E2" s="97"/>
      <c r="F2" s="97"/>
      <c r="G2" s="33"/>
    </row>
    <row r="3" ht="15.75" customHeight="1">
      <c r="A3" s="120"/>
      <c r="B3" s="98" t="s">
        <v>95</v>
      </c>
      <c r="C3" s="2"/>
      <c r="D3" s="2"/>
      <c r="E3" s="2"/>
      <c r="F3" s="3"/>
      <c r="G3" s="121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</row>
    <row r="4" ht="17.25" customHeight="1">
      <c r="A4" s="123"/>
      <c r="B4" s="124" t="s">
        <v>81</v>
      </c>
      <c r="C4" s="6" t="s">
        <v>3</v>
      </c>
      <c r="D4" s="6" t="s">
        <v>4</v>
      </c>
      <c r="E4" s="6" t="s">
        <v>5</v>
      </c>
      <c r="F4" s="6" t="s">
        <v>6</v>
      </c>
      <c r="G4" s="82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</row>
    <row r="5" ht="15.75" customHeight="1">
      <c r="A5" s="123"/>
      <c r="B5" s="125" t="s">
        <v>82</v>
      </c>
      <c r="C5" s="103">
        <f>'Eicher Motors IS'!D18/'Eicher Motors IS'!D7</f>
        <v>0.2620834934</v>
      </c>
      <c r="D5" s="103">
        <f>'Eicher Motors IS'!E18/'Eicher Motors IS'!E7</f>
        <v>0.2728409888</v>
      </c>
      <c r="E5" s="103">
        <f>'Eicher Motors IS'!F18/'Eicher Motors IS'!F7</f>
        <v>0.2335846419</v>
      </c>
      <c r="F5" s="103">
        <f>'Eicher Motors IS'!G18/'Eicher Motors IS'!G7</f>
        <v>0.2012487603</v>
      </c>
      <c r="G5" s="82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</row>
    <row r="6" ht="15.75" customHeight="1">
      <c r="A6" s="123"/>
      <c r="B6" s="125" t="s">
        <v>83</v>
      </c>
      <c r="C6" s="103">
        <f>'SML Isuzu IS'!D18/'SML Isuzu IS'!D7</f>
        <v>0.07993850596</v>
      </c>
      <c r="D6" s="103">
        <f>'SML Isuzu IS'!E18/'SML Isuzu IS'!E7</f>
        <v>0.06214394401</v>
      </c>
      <c r="E6" s="103">
        <f>'SML Isuzu IS'!F18/'SML Isuzu IS'!F7</f>
        <v>0.02319261168</v>
      </c>
      <c r="F6" s="103">
        <f>'SML Isuzu IS'!G18/'SML Isuzu IS'!G7</f>
        <v>-0.08466839273</v>
      </c>
      <c r="G6" s="82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</row>
    <row r="7" ht="15.75" customHeight="1">
      <c r="A7" s="119"/>
      <c r="B7" s="119"/>
      <c r="C7" s="119"/>
      <c r="D7" s="119"/>
      <c r="E7" s="119"/>
      <c r="F7" s="119"/>
      <c r="G7" s="33"/>
    </row>
    <row r="8" ht="15.75" customHeight="1">
      <c r="A8" s="119"/>
      <c r="B8" s="119"/>
      <c r="C8" s="119"/>
      <c r="D8" s="119"/>
      <c r="E8" s="119"/>
      <c r="F8" s="119"/>
      <c r="G8" s="33"/>
    </row>
    <row r="9" ht="15.75" customHeight="1">
      <c r="A9" s="120"/>
      <c r="B9" s="98" t="s">
        <v>96</v>
      </c>
      <c r="C9" s="2"/>
      <c r="D9" s="2"/>
      <c r="E9" s="2"/>
      <c r="F9" s="3"/>
      <c r="G9" s="121"/>
      <c r="H9" s="122"/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</row>
    <row r="10" ht="17.25" customHeight="1">
      <c r="A10" s="123"/>
      <c r="B10" s="124" t="s">
        <v>81</v>
      </c>
      <c r="C10" s="6" t="s">
        <v>3</v>
      </c>
      <c r="D10" s="6" t="s">
        <v>4</v>
      </c>
      <c r="E10" s="6" t="s">
        <v>5</v>
      </c>
      <c r="F10" s="6" t="s">
        <v>6</v>
      </c>
      <c r="G10" s="82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</row>
    <row r="11" ht="15.75" customHeight="1">
      <c r="A11" s="123"/>
      <c r="B11" s="125" t="s">
        <v>82</v>
      </c>
      <c r="C11" s="103">
        <f>'Eicher Motors IS'!D27/'Eicher Motors IS'!D7</f>
        <v>0.2346657414</v>
      </c>
      <c r="D11" s="103">
        <f>'Eicher Motors IS'!E27/'Eicher Motors IS'!E7</f>
        <v>0.2271797361</v>
      </c>
      <c r="E11" s="103">
        <f>'Eicher Motors IS'!F27/'Eicher Motors IS'!F7</f>
        <v>0.1937809273</v>
      </c>
      <c r="F11" s="103">
        <f>'Eicher Motors IS'!G27/'Eicher Motors IS'!G7</f>
        <v>0.1561276324</v>
      </c>
      <c r="G11" s="82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</row>
    <row r="12" ht="15.75" customHeight="1">
      <c r="A12" s="123"/>
      <c r="B12" s="125" t="s">
        <v>83</v>
      </c>
      <c r="C12" s="103">
        <f>'SML Isuzu IS'!D27/'SML Isuzu IS'!D7</f>
        <v>0.05059129425</v>
      </c>
      <c r="D12" s="103">
        <f>'SML Isuzu IS'!E27/'SML Isuzu IS'!E7</f>
        <v>0.04900562349</v>
      </c>
      <c r="E12" s="103">
        <f>'SML Isuzu IS'!F27/'SML Isuzu IS'!F7</f>
        <v>0.01087035331</v>
      </c>
      <c r="F12" s="103">
        <f>'SML Isuzu IS'!G27/'SML Isuzu IS'!G7</f>
        <v>-0.1072539702</v>
      </c>
      <c r="G12" s="82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</row>
    <row r="13" ht="15.75" customHeight="1">
      <c r="A13" s="119"/>
      <c r="B13" s="119"/>
      <c r="C13" s="119"/>
      <c r="D13" s="119"/>
      <c r="E13" s="119"/>
      <c r="F13" s="119"/>
      <c r="G13" s="33"/>
    </row>
    <row r="14" ht="15.75" customHeight="1">
      <c r="A14" s="119"/>
      <c r="B14" s="119"/>
      <c r="C14" s="119"/>
      <c r="D14" s="119"/>
      <c r="E14" s="119"/>
      <c r="F14" s="119"/>
      <c r="G14" s="33"/>
    </row>
    <row r="15" ht="15.75" customHeight="1">
      <c r="A15" s="120"/>
      <c r="B15" s="98" t="s">
        <v>97</v>
      </c>
      <c r="C15" s="2"/>
      <c r="D15" s="2"/>
      <c r="E15" s="2"/>
      <c r="F15" s="3"/>
      <c r="G15" s="121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</row>
    <row r="16" ht="17.25" customHeight="1">
      <c r="A16" s="123"/>
      <c r="B16" s="124" t="s">
        <v>81</v>
      </c>
      <c r="C16" s="6" t="s">
        <v>3</v>
      </c>
      <c r="D16" s="6" t="s">
        <v>4</v>
      </c>
      <c r="E16" s="6" t="s">
        <v>5</v>
      </c>
      <c r="F16" s="6" t="s">
        <v>6</v>
      </c>
      <c r="G16" s="82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</row>
    <row r="17" ht="15.75" customHeight="1">
      <c r="A17" s="123"/>
      <c r="B17" s="125" t="s">
        <v>82</v>
      </c>
      <c r="C17" s="103">
        <f>'Eicher Motors IS'!D27/'Eicher Motors BS'!D30</f>
        <v>0.2223108127</v>
      </c>
      <c r="D17" s="103">
        <f>'Eicher Motors IS'!E27/'Eicher Motors BS'!E30</f>
        <v>0.2217175112</v>
      </c>
      <c r="E17" s="103">
        <f>'Eicher Motors IS'!F27/'Eicher Motors BS'!F30</f>
        <v>0.1943886305</v>
      </c>
      <c r="F17" s="103">
        <f>'Eicher Motors IS'!G27/'Eicher Motors BS'!G30</f>
        <v>0.1329790609</v>
      </c>
      <c r="G17" s="82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</row>
    <row r="18" ht="15.75" customHeight="1">
      <c r="A18" s="123"/>
      <c r="B18" s="125" t="s">
        <v>83</v>
      </c>
      <c r="C18" s="103">
        <f>'SML Isuzu IS'!D27/'SML Isuzu BS'!D30</f>
        <v>0.3179677559</v>
      </c>
      <c r="D18" s="103">
        <f>'SML Isuzu IS'!E27/'SML Isuzu BS'!E30</f>
        <v>0.3777389029</v>
      </c>
      <c r="E18" s="103">
        <f>'SML Isuzu IS'!F27/'SML Isuzu BS'!F30</f>
        <v>0.1114670854</v>
      </c>
      <c r="F18" s="103">
        <f>'SML Isuzu IS'!G27/'SML Isuzu BS'!G30</f>
        <v>-0.6177694523</v>
      </c>
      <c r="G18" s="82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</row>
    <row r="19" ht="15.75" customHeight="1">
      <c r="A19" s="119"/>
      <c r="B19" s="119"/>
      <c r="C19" s="119"/>
      <c r="D19" s="119"/>
      <c r="E19" s="119"/>
      <c r="F19" s="119"/>
      <c r="G19" s="33"/>
    </row>
    <row r="20" ht="15.75" customHeight="1">
      <c r="A20" s="119"/>
      <c r="B20" s="119"/>
      <c r="C20" s="119"/>
      <c r="D20" s="119"/>
      <c r="E20" s="119"/>
      <c r="F20" s="119"/>
      <c r="G20" s="33"/>
    </row>
    <row r="21" ht="15.75" customHeight="1">
      <c r="A21" s="120"/>
      <c r="B21" s="98" t="s">
        <v>98</v>
      </c>
      <c r="C21" s="2"/>
      <c r="D21" s="2"/>
      <c r="E21" s="2"/>
      <c r="F21" s="3"/>
      <c r="G21" s="121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</row>
    <row r="22" ht="17.25" customHeight="1">
      <c r="A22" s="123"/>
      <c r="B22" s="124" t="s">
        <v>81</v>
      </c>
      <c r="C22" s="6" t="s">
        <v>3</v>
      </c>
      <c r="D22" s="6" t="s">
        <v>4</v>
      </c>
      <c r="E22" s="6" t="s">
        <v>5</v>
      </c>
      <c r="F22" s="6" t="s">
        <v>6</v>
      </c>
      <c r="G22" s="82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</row>
    <row r="23" ht="15.75" customHeight="1">
      <c r="A23" s="123"/>
      <c r="B23" s="125" t="s">
        <v>82</v>
      </c>
      <c r="C23" s="103">
        <f>'Eicher Motors IS'!D27/'Eicher Motors BS'!D20</f>
        <v>0.1742242058</v>
      </c>
      <c r="D23" s="103">
        <f>'Eicher Motors IS'!E27/'Eicher Motors BS'!E20</f>
        <v>0.1729947297</v>
      </c>
      <c r="E23" s="103">
        <f>'Eicher Motors IS'!F27/'Eicher Motors BS'!F20</f>
        <v>0.1517863654</v>
      </c>
      <c r="F23" s="103">
        <f>'Eicher Motors IS'!G27/'Eicher Motors BS'!G20</f>
        <v>0.1038796567</v>
      </c>
      <c r="G23" s="82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</row>
    <row r="24" ht="15.75" customHeight="1">
      <c r="A24" s="123"/>
      <c r="B24" s="125" t="s">
        <v>83</v>
      </c>
      <c r="C24" s="103">
        <f>'SML Isuzu IS'!D27/'SML Isuzu BS'!D20</f>
        <v>0.09363798787</v>
      </c>
      <c r="D24" s="103">
        <f>'SML Isuzu IS'!E27/'SML Isuzu BS'!E20</f>
        <v>0.08896999813</v>
      </c>
      <c r="E24" s="103">
        <f>'SML Isuzu IS'!F27/'SML Isuzu BS'!F20</f>
        <v>0.02117869373</v>
      </c>
      <c r="F24" s="103">
        <f>'SML Isuzu IS'!G27/'SML Isuzu BS'!G20</f>
        <v>-0.1222817094</v>
      </c>
      <c r="G24" s="82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</row>
    <row r="25" ht="15.75" customHeight="1">
      <c r="A25" s="33"/>
      <c r="B25" s="33"/>
      <c r="C25" s="33"/>
      <c r="D25" s="33"/>
      <c r="E25" s="33"/>
      <c r="F25" s="33"/>
      <c r="G25" s="33"/>
    </row>
    <row r="26" ht="15.75" customHeight="1"/>
  </sheetData>
  <mergeCells count="4">
    <mergeCell ref="B3:F3"/>
    <mergeCell ref="B9:F9"/>
    <mergeCell ref="B15:F15"/>
    <mergeCell ref="B21:F21"/>
  </mergeCells>
  <drawing r:id="rId1"/>
</worksheet>
</file>